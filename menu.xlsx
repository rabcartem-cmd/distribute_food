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іст1" sheetId="1" state="visible" r:id="rId3"/>
    <sheet name="Ліст2" sheetId="2" state="visible" r:id="rId4"/>
  </sheets>
  <definedNames>
    <definedName function="false" hidden="false" name="Завтрак" vbProcedure="false">Ліст1!$B$14:$B$118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<sst xmlns="http://schemas.openxmlformats.org/spreadsheetml/2006/main" count="478" uniqueCount="176">
  <si>
    <t xml:space="preserve">на чалавека, г</t>
  </si>
  <si>
    <t xml:space="preserve">людзей усяга</t>
  </si>
  <si>
    <t xml:space="preserve">чацвер, 02.07.2026</t>
  </si>
  <si>
    <t xml:space="preserve">вячара</t>
  </si>
  <si>
    <t xml:space="preserve">грэчка</t>
  </si>
  <si>
    <t xml:space="preserve">разам, у гр</t>
  </si>
  <si>
    <t xml:space="preserve">кг,дэс,шт</t>
  </si>
  <si>
    <t xml:space="preserve">ед.измерения</t>
  </si>
  <si>
    <t xml:space="preserve">купілі</t>
  </si>
  <si>
    <t xml:space="preserve">трэба</t>
  </si>
  <si>
    <t xml:space="preserve">цана</t>
  </si>
  <si>
    <t xml:space="preserve">сума</t>
  </si>
  <si>
    <t xml:space="preserve">Узрост</t>
  </si>
  <si>
    <t xml:space="preserve">кілбаскі</t>
  </si>
  <si>
    <t xml:space="preserve">агурок</t>
  </si>
  <si>
    <t xml:space="preserve">кг</t>
  </si>
  <si>
    <t xml:space="preserve">айсберг</t>
  </si>
  <si>
    <t xml:space="preserve">капуста</t>
  </si>
  <si>
    <t xml:space="preserve">алей</t>
  </si>
  <si>
    <t xml:space="preserve">шт</t>
  </si>
  <si>
    <t xml:space="preserve">семья 1</t>
  </si>
  <si>
    <t xml:space="preserve">памідор</t>
  </si>
  <si>
    <t xml:space="preserve">алей аліўкавы</t>
  </si>
  <si>
    <t xml:space="preserve">зеляніна</t>
  </si>
  <si>
    <t xml:space="preserve">аліўкі</t>
  </si>
  <si>
    <t xml:space="preserve">смятана</t>
  </si>
  <si>
    <t xml:space="preserve">арэхі</t>
  </si>
  <si>
    <t xml:space="preserve">філе рыбы</t>
  </si>
  <si>
    <t xml:space="preserve">аўсянка</t>
  </si>
  <si>
    <t xml:space="preserve">хлеб</t>
  </si>
  <si>
    <t xml:space="preserve">батон</t>
  </si>
  <si>
    <t xml:space="preserve">семья 2</t>
  </si>
  <si>
    <t xml:space="preserve">кетчуп</t>
  </si>
  <si>
    <t xml:space="preserve">бульба</t>
  </si>
  <si>
    <t xml:space="preserve">гарбата</t>
  </si>
  <si>
    <t xml:space="preserve">воцат</t>
  </si>
  <si>
    <t xml:space="preserve">МЕНЮ:</t>
  </si>
  <si>
    <t xml:space="preserve">семья 13</t>
  </si>
  <si>
    <t xml:space="preserve">лімон</t>
  </si>
  <si>
    <t xml:space="preserve">ЧАЦВЕР, 2 ліпені</t>
  </si>
  <si>
    <t xml:space="preserve">печыва</t>
  </si>
  <si>
    <t xml:space="preserve">гарох</t>
  </si>
  <si>
    <t xml:space="preserve">Вячэра:</t>
  </si>
  <si>
    <t xml:space="preserve">семья 4</t>
  </si>
  <si>
    <t xml:space="preserve">масла сметанковае</t>
  </si>
  <si>
    <t xml:space="preserve">грэчка з кіўбаскамі</t>
  </si>
  <si>
    <t xml:space="preserve">семья 3</t>
  </si>
  <si>
    <t xml:space="preserve">згушчонка</t>
  </si>
  <si>
    <t xml:space="preserve">салата</t>
  </si>
  <si>
    <t xml:space="preserve">семья 5</t>
  </si>
  <si>
    <t xml:space="preserve">пячэнькі/гарбата</t>
  </si>
  <si>
    <t xml:space="preserve">кабачок</t>
  </si>
  <si>
    <t xml:space="preserve">пятніца, 3.07.2026</t>
  </si>
  <si>
    <t xml:space="preserve">Сняданак:</t>
  </si>
  <si>
    <t xml:space="preserve">кава </t>
  </si>
  <si>
    <t xml:space="preserve">ПЯТНІЦА, 3 ліпені</t>
  </si>
  <si>
    <t xml:space="preserve">кава растваральная</t>
  </si>
  <si>
    <t xml:space="preserve">какава</t>
  </si>
  <si>
    <t xml:space="preserve">аўсянка </t>
  </si>
  <si>
    <t xml:space="preserve">разынкі</t>
  </si>
  <si>
    <t xml:space="preserve">кампот</t>
  </si>
  <si>
    <t xml:space="preserve">яйкі </t>
  </si>
  <si>
    <t xml:space="preserve">семья 6</t>
  </si>
  <si>
    <t xml:space="preserve">курага</t>
  </si>
  <si>
    <t xml:space="preserve">яйкі</t>
  </si>
  <si>
    <t xml:space="preserve">каўбаса</t>
  </si>
  <si>
    <t xml:space="preserve">сардзіна (кансерва)</t>
  </si>
  <si>
    <t xml:space="preserve">Абед:</t>
  </si>
  <si>
    <t xml:space="preserve">бульба тушоная з куркай і сачавіцай</t>
  </si>
  <si>
    <t xml:space="preserve">семья 11</t>
  </si>
  <si>
    <t xml:space="preserve">кілька (кансерва)</t>
  </si>
  <si>
    <t xml:space="preserve">пячэнькі</t>
  </si>
  <si>
    <t xml:space="preserve">семья 12</t>
  </si>
  <si>
    <t xml:space="preserve">крабавыя палачкі</t>
  </si>
  <si>
    <t xml:space="preserve">бутэры</t>
  </si>
  <si>
    <t xml:space="preserve">кукуруза</t>
  </si>
  <si>
    <t xml:space="preserve">семья 7</t>
  </si>
  <si>
    <t xml:space="preserve">малако</t>
  </si>
  <si>
    <t xml:space="preserve">курыца</t>
  </si>
  <si>
    <t xml:space="preserve">плоў</t>
  </si>
  <si>
    <t xml:space="preserve">курыца філе</t>
  </si>
  <si>
    <t xml:space="preserve">цукар</t>
  </si>
  <si>
    <t xml:space="preserve">кускус</t>
  </si>
  <si>
    <t xml:space="preserve">рыбныя кансервы</t>
  </si>
  <si>
    <t xml:space="preserve">лаваш</t>
  </si>
  <si>
    <t xml:space="preserve">макарона</t>
  </si>
  <si>
    <t xml:space="preserve">СУБОТА, 4 ліпені</t>
  </si>
  <si>
    <t xml:space="preserve">макарошкі дробныя</t>
  </si>
  <si>
    <t xml:space="preserve">семья 8</t>
  </si>
  <si>
    <t xml:space="preserve">абед</t>
  </si>
  <si>
    <t xml:space="preserve">цыбуля</t>
  </si>
  <si>
    <t xml:space="preserve">малако сухое</t>
  </si>
  <si>
    <t xml:space="preserve">лавашы на грылі з сырам, тварагом і зялёнінай</t>
  </si>
  <si>
    <t xml:space="preserve">семья 9</t>
  </si>
  <si>
    <t xml:space="preserve">морква</t>
  </si>
  <si>
    <t xml:space="preserve">сачавіца</t>
  </si>
  <si>
    <t xml:space="preserve">нут</t>
  </si>
  <si>
    <t xml:space="preserve">суп гарахавы з тушонкай</t>
  </si>
  <si>
    <t xml:space="preserve">скумбрыя(кансерва)</t>
  </si>
  <si>
    <t xml:space="preserve">пекінская капуста</t>
  </si>
  <si>
    <t xml:space="preserve">прыправы</t>
  </si>
  <si>
    <t xml:space="preserve">перапечкі</t>
  </si>
  <si>
    <t xml:space="preserve">семья 10</t>
  </si>
  <si>
    <t xml:space="preserve">перац</t>
  </si>
  <si>
    <t xml:space="preserve">пернікі</t>
  </si>
  <si>
    <t xml:space="preserve">макароны з тушонкай</t>
  </si>
  <si>
    <t xml:space="preserve">сала</t>
  </si>
  <si>
    <t xml:space="preserve">пітная вада</t>
  </si>
  <si>
    <t xml:space="preserve">сыр</t>
  </si>
  <si>
    <t xml:space="preserve">проса</t>
  </si>
  <si>
    <t xml:space="preserve">сушкі</t>
  </si>
  <si>
    <t xml:space="preserve">НЯДЗЕЛЯ, 5 ліпеня</t>
  </si>
  <si>
    <t xml:space="preserve">сухары</t>
  </si>
  <si>
    <t xml:space="preserve">рыс</t>
  </si>
  <si>
    <t xml:space="preserve">фрукт (яблык)</t>
  </si>
  <si>
    <t xml:space="preserve">сумма сдачі по 70 рублей все кто старше 10 і по 35 рублей кто младше 10</t>
  </si>
  <si>
    <t xml:space="preserve">лавашы на грылі з сырам і зялёнінай</t>
  </si>
  <si>
    <t xml:space="preserve">соль</t>
  </si>
  <si>
    <t xml:space="preserve">спецыі для плову</t>
  </si>
  <si>
    <t xml:space="preserve">грэчка з засмажакай і тушонкай</t>
  </si>
  <si>
    <t xml:space="preserve">сухое малако</t>
  </si>
  <si>
    <t xml:space="preserve">сыр для салаты</t>
  </si>
  <si>
    <t xml:space="preserve">тварог</t>
  </si>
  <si>
    <t xml:space="preserve">тунец (кансерва)</t>
  </si>
  <si>
    <t xml:space="preserve">тушонка</t>
  </si>
  <si>
    <t xml:space="preserve">фарш</t>
  </si>
  <si>
    <t xml:space="preserve">Цукар</t>
  </si>
  <si>
    <t xml:space="preserve">цыкорый</t>
  </si>
  <si>
    <t xml:space="preserve">чарнасліў</t>
  </si>
  <si>
    <t xml:space="preserve">часнок</t>
  </si>
  <si>
    <t xml:space="preserve">шпроты (кансерва)</t>
  </si>
  <si>
    <t xml:space="preserve">субота, 4.07.2026</t>
  </si>
  <si>
    <t xml:space="preserve">Сняданак.</t>
  </si>
  <si>
    <t xml:space="preserve">балоны з газам</t>
  </si>
  <si>
    <t xml:space="preserve">450 гр.</t>
  </si>
  <si>
    <t xml:space="preserve">Баллон газовый резьбовой Gas Standard 450 г. - купить в Минске</t>
  </si>
  <si>
    <t xml:space="preserve">сродкі для мыцця посуду</t>
  </si>
  <si>
    <t xml:space="preserve">вадкае мыла</t>
  </si>
  <si>
    <t xml:space="preserve">пакеты для смецця</t>
  </si>
  <si>
    <t xml:space="preserve">пакеты 120 літраў</t>
  </si>
  <si>
    <t xml:space="preserve">разам</t>
  </si>
  <si>
    <t xml:space="preserve">на чал</t>
  </si>
  <si>
    <t xml:space="preserve">на дар.</t>
  </si>
  <si>
    <t xml:space="preserve">на дзіця</t>
  </si>
  <si>
    <t xml:space="preserve">=</t>
  </si>
  <si>
    <t xml:space="preserve">нядзеля, 06.07.2025</t>
  </si>
  <si>
    <t xml:space="preserve">сняданак</t>
  </si>
  <si>
    <t xml:space="preserve">зелень</t>
  </si>
  <si>
    <t xml:space="preserve">смеццевыя пакеты</t>
  </si>
  <si>
    <t xml:space="preserve">губкі</t>
  </si>
  <si>
    <t xml:space="preserve">мыйнае</t>
  </si>
  <si>
    <t xml:space="preserve">дошка апрацоўчая</t>
  </si>
  <si>
    <t xml:space="preserve">вядра</t>
  </si>
  <si>
    <t xml:space="preserve">чарпакі</t>
  </si>
  <si>
    <t xml:space="preserve">лыжкі</t>
  </si>
  <si>
    <t xml:space="preserve">пальчаткі працоўныя</t>
  </si>
  <si>
    <t xml:space="preserve">шпагат</t>
  </si>
  <si>
    <t xml:space="preserve">лапата</t>
  </si>
  <si>
    <t xml:space="preserve">сякеры </t>
  </si>
  <si>
    <t xml:space="preserve">пілы</t>
  </si>
  <si>
    <t xml:space="preserve">нажніцы</t>
  </si>
  <si>
    <t xml:space="preserve">рашоткі</t>
  </si>
  <si>
    <t xml:space="preserve">цвікі</t>
  </si>
  <si>
    <t xml:space="preserve">тазікі</t>
  </si>
  <si>
    <t xml:space="preserve">варонкі</t>
  </si>
  <si>
    <t xml:space="preserve">вядра пластыкавыя</t>
  </si>
  <si>
    <t xml:space="preserve">адкрывашкі</t>
  </si>
  <si>
    <t xml:space="preserve">патэльні</t>
  </si>
  <si>
    <t xml:space="preserve">коўшыкі</t>
  </si>
  <si>
    <t xml:space="preserve">тачыла</t>
  </si>
  <si>
    <t xml:space="preserve">тарка</t>
  </si>
  <si>
    <t xml:space="preserve">нажы</t>
  </si>
  <si>
    <t xml:space="preserve">тэнты</t>
  </si>
  <si>
    <t xml:space="preserve">плёнка</t>
  </si>
  <si>
    <t xml:space="preserve">бочкі для вады</t>
  </si>
  <si>
    <t xml:space="preserve">спецыі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</si>
</sst>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dd\ dd\.mm\.yy"/>
    <numFmt numFmtId="167" formatCode="0.00"/>
    <numFmt numFmtId="168" formatCode="m/d/yyyy"/>
    <numFmt numFmtId="169" formatCode="0"/>
  </numFmts>
  <fonts count="1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1"/>
      <color rgb="FFCCFFCC"/>
      <name val="Calibri"/>
      <family val="2"/>
      <charset val="204"/>
    </font>
    <font>
      <sz val="11"/>
      <color rgb="FF00CCFF"/>
      <name val="Calibri"/>
      <family val="2"/>
      <charset val="204"/>
    </font>
    <font>
      <sz val="10"/>
      <color rgb="FF000000"/>
      <name val="Arial"/>
      <family val="2"/>
      <charset val="204"/>
    </font>
    <font>
      <sz val="16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u val="single"/>
      <sz val="11"/>
      <color rgb="FF0000FF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sz val="14"/>
      <color rgb="FF0000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FFF99"/>
        <bgColor rgb="FFEBF1DC"/>
      </patternFill>
    </fill>
    <fill>
      <patternFill patternType="solid">
        <fgColor rgb="FFCCFFFF"/>
        <bgColor rgb="FFCCFFFF"/>
      </patternFill>
    </fill>
    <fill>
      <patternFill patternType="solid">
        <fgColor rgb="FFC0504D"/>
        <bgColor rgb="FF993366"/>
      </patternFill>
    </fill>
    <fill>
      <patternFill patternType="solid">
        <fgColor rgb="FFFFFFFF"/>
        <bgColor rgb="FFEBF1DC"/>
      </patternFill>
    </fill>
    <fill>
      <patternFill patternType="solid">
        <fgColor rgb="FFFFFF00"/>
        <bgColor rgb="FFFFFF00"/>
      </patternFill>
    </fill>
    <fill>
      <patternFill patternType="solid">
        <fgColor rgb="FFEBF1DC"/>
        <bgColor rgb="FFD7E3BB"/>
      </patternFill>
    </fill>
    <fill>
      <patternFill patternType="solid">
        <fgColor rgb="FFD7E3BB"/>
        <bgColor rgb="FFD8D8D8"/>
      </patternFill>
    </fill>
    <fill>
      <patternFill patternType="solid">
        <fgColor rgb="FFD8D8D8"/>
        <bgColor rgb="FFD7E3BB"/>
      </patternFill>
    </fill>
    <fill>
      <patternFill patternType="solid">
        <fgColor rgb="FFFFC000"/>
        <bgColor rgb="FFFF9900"/>
      </patternFill>
    </fill>
    <fill>
      <patternFill patternType="solid">
        <fgColor rgb="FFC2D69A"/>
        <bgColor rgb="FFD7E3BB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6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9" borderId="1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25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9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9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9" xfId="25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9" xfId="25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2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2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2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2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12" borderId="9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9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9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4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4" xfId="25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3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2_Ліст1" xfId="21"/>
    <cellStyle name="Good_Ліст1" xfId="22"/>
    <cellStyle name="Input_Ліст1" xfId="23"/>
    <cellStyle name="Normal 2" xfId="24"/>
    <cellStyle name="Normal 3" xfId="25"/>
    <cellStyle name="Normal_Ліст1" xfId="26"/>
    <cellStyle name="Excel Built-in Accent2" xfId="27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D69A"/>
      <rgbColor rgb="FF808080"/>
      <rgbColor rgb="FF9999FF"/>
      <rgbColor rgb="FFC0504D"/>
      <rgbColor rgb="FFEBF1D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7E3B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binzon.by/catalog/ballony1/ballon-gazovyy-rezbovoy-gas-standard-450-g/?offer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936"/>
  <sheetViews>
    <sheetView showFormulas="false" showGridLines="true" showRowColHeaders="true" showZeros="true" rightToLeft="false" tabSelected="true" showOutlineSymbols="true" defaultGridColor="true" view="normal" topLeftCell="I1" colorId="64" zoomScale="75" zoomScaleNormal="75" zoomScalePageLayoutView="100" workbookViewId="0">
      <selection pane="topLeft" activeCell="Q2" activeCellId="0" sqref="Q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3.71"/>
    <col collapsed="false" customWidth="true" hidden="false" outlineLevel="0" max="3" min="3" style="1" width="19.71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8.54"/>
    <col collapsed="false" customWidth="true" hidden="false" outlineLevel="0" max="7" min="7" style="1" width="10.14"/>
    <col collapsed="false" customWidth="true" hidden="false" outlineLevel="0" max="8" min="8" style="1" width="22.03"/>
    <col collapsed="false" customWidth="true" hidden="false" outlineLevel="0" max="9" min="9" style="1" width="10.28"/>
    <col collapsed="false" customWidth="true" hidden="false" outlineLevel="0" max="10" min="10" style="1" width="15.14"/>
    <col collapsed="false" customWidth="true" hidden="false" outlineLevel="0" max="12" min="11" style="1" width="13"/>
    <col collapsed="false" customWidth="true" hidden="false" outlineLevel="0" max="13" min="13" style="1" width="8.81"/>
    <col collapsed="false" customWidth="true" hidden="false" outlineLevel="0" max="14" min="14" style="1" width="6.57"/>
    <col collapsed="false" customWidth="true" hidden="false" outlineLevel="0" max="15" min="15" style="1" width="11.14"/>
    <col collapsed="false" customWidth="true" hidden="false" outlineLevel="0" max="16" min="16" style="1" width="16"/>
    <col collapsed="false" customWidth="true" hidden="false" outlineLevel="0" max="17" min="17" style="1" width="54"/>
    <col collapsed="false" customWidth="true" hidden="false" outlineLevel="0" max="18" min="18" style="1" width="27.43"/>
    <col collapsed="false" customWidth="true" hidden="false" outlineLevel="0" max="19" min="19" style="1" width="8"/>
    <col collapsed="false" customWidth="true" hidden="false" outlineLevel="0" max="20" min="20" style="1" width="4.71"/>
    <col collapsed="false" customWidth="true" hidden="false" outlineLevel="0" max="21" min="21" style="1" width="8.43"/>
    <col collapsed="false" customWidth="true" hidden="false" outlineLevel="0" max="22" min="22" style="1" width="8"/>
    <col collapsed="false" customWidth="true" hidden="false" outlineLevel="0" max="23" min="23" style="1" width="16.15"/>
    <col collapsed="false" customWidth="true" hidden="false" outlineLevel="0" max="24" min="24" style="1" width="8"/>
  </cols>
  <sheetData>
    <row r="1" customFormat="false" ht="24" hidden="false" customHeight="true" outlineLevel="0" collapsed="false">
      <c r="A1" s="2"/>
      <c r="B1" s="3"/>
      <c r="C1" s="4"/>
      <c r="D1" s="5" t="s">
        <v>0</v>
      </c>
      <c r="E1" s="6" t="n">
        <v>43</v>
      </c>
      <c r="F1" s="7" t="s">
        <v>1</v>
      </c>
      <c r="G1" s="7"/>
      <c r="H1" s="8"/>
      <c r="N1" s="9"/>
      <c r="O1" s="9"/>
      <c r="Q1" s="10"/>
      <c r="R1" s="10"/>
      <c r="S1" s="10"/>
      <c r="T1" s="10"/>
      <c r="U1" s="10"/>
      <c r="W1" s="0"/>
      <c r="X1" s="11"/>
      <c r="Y1" s="11"/>
      <c r="Z1" s="11"/>
      <c r="AA1" s="11"/>
    </row>
    <row r="2" customFormat="false" ht="12.75" hidden="false" customHeight="true" outlineLevel="0" collapsed="false">
      <c r="A2" s="12" t="s">
        <v>2</v>
      </c>
      <c r="B2" s="13" t="s">
        <v>3</v>
      </c>
      <c r="C2" s="14" t="s">
        <v>4</v>
      </c>
      <c r="D2" s="15" t="n">
        <v>80</v>
      </c>
      <c r="E2" s="16" t="n">
        <f aca="false">D2*$E$1</f>
        <v>3440</v>
      </c>
      <c r="H2" s="17"/>
      <c r="I2" s="18" t="s">
        <v>5</v>
      </c>
      <c r="J2" s="18" t="s">
        <v>6</v>
      </c>
      <c r="K2" s="18" t="s">
        <v>7</v>
      </c>
      <c r="L2" s="18" t="s">
        <v>8</v>
      </c>
      <c r="M2" s="18" t="s">
        <v>9</v>
      </c>
      <c r="N2" s="19" t="s">
        <v>10</v>
      </c>
      <c r="O2" s="20" t="s">
        <v>11</v>
      </c>
      <c r="P2" s="21"/>
      <c r="Q2" s="10"/>
      <c r="R2" s="10"/>
      <c r="S2" s="10"/>
      <c r="T2" s="10"/>
      <c r="U2" s="10"/>
      <c r="W2" s="0"/>
      <c r="X2" s="22" t="s">
        <v>12</v>
      </c>
      <c r="Y2" s="22"/>
      <c r="Z2" s="22"/>
      <c r="AA2" s="23"/>
    </row>
    <row r="3" customFormat="false" ht="12.75" hidden="false" customHeight="true" outlineLevel="0" collapsed="false">
      <c r="A3" s="12"/>
      <c r="B3" s="13"/>
      <c r="C3" s="24" t="s">
        <v>13</v>
      </c>
      <c r="D3" s="25" t="n">
        <v>120</v>
      </c>
      <c r="E3" s="26" t="n">
        <f aca="false">D3*$E$1</f>
        <v>5160</v>
      </c>
      <c r="H3" s="27" t="s">
        <v>14</v>
      </c>
      <c r="I3" s="28" t="n">
        <f aca="false">SUMIF($C$1:$C$187,H3,$E$1:$E$187)</f>
        <v>6450</v>
      </c>
      <c r="J3" s="29" t="n">
        <f aca="false">IF(P3&lt;&gt;"", ROUNDUP(I3/P3,0), I3/1000)</f>
        <v>6.45</v>
      </c>
      <c r="K3" s="29" t="s">
        <v>15</v>
      </c>
      <c r="L3" s="28"/>
      <c r="M3" s="30" t="n">
        <f aca="false">J3-L3</f>
        <v>6.45</v>
      </c>
      <c r="N3" s="31" t="n">
        <v>6</v>
      </c>
      <c r="O3" s="32" t="n">
        <f aca="false">N3*M3</f>
        <v>38.7</v>
      </c>
      <c r="P3" s="33"/>
      <c r="Q3" s="10"/>
      <c r="R3" s="10"/>
      <c r="S3" s="10"/>
      <c r="T3" s="10"/>
      <c r="U3" s="10"/>
      <c r="W3" s="0"/>
      <c r="X3" s="34"/>
      <c r="Y3" s="34"/>
      <c r="Z3" s="34"/>
      <c r="AA3" s="35"/>
    </row>
    <row r="4" customFormat="false" ht="12.75" hidden="false" customHeight="true" outlineLevel="0" collapsed="false">
      <c r="A4" s="12"/>
      <c r="B4" s="13"/>
      <c r="C4" s="36" t="s">
        <v>14</v>
      </c>
      <c r="D4" s="37" t="n">
        <v>50</v>
      </c>
      <c r="E4" s="26" t="n">
        <f aca="false">D4*$E$1</f>
        <v>2150</v>
      </c>
      <c r="H4" s="38" t="s">
        <v>16</v>
      </c>
      <c r="I4" s="39" t="n">
        <f aca="false">SUMIF($C$1:$C$187,H4,$E$1:$E$187)</f>
        <v>2967</v>
      </c>
      <c r="J4" s="29" t="n">
        <f aca="false">IF(P4&lt;&gt;"", ROUNDUP(I4/P4,0), I4/1000)</f>
        <v>2.967</v>
      </c>
      <c r="K4" s="29" t="s">
        <v>15</v>
      </c>
      <c r="L4" s="40"/>
      <c r="M4" s="30" t="n">
        <f aca="false">J4-L4</f>
        <v>2.967</v>
      </c>
      <c r="N4" s="41" t="n">
        <v>11</v>
      </c>
      <c r="O4" s="42" t="n">
        <f aca="false">N4*M4</f>
        <v>32.637</v>
      </c>
      <c r="P4" s="33"/>
      <c r="Q4" s="10"/>
      <c r="R4" s="10"/>
      <c r="S4" s="10"/>
      <c r="T4" s="10"/>
      <c r="U4" s="10"/>
      <c r="W4" s="0"/>
      <c r="X4" s="43"/>
      <c r="Y4" s="43"/>
      <c r="Z4" s="43"/>
      <c r="AA4" s="44"/>
    </row>
    <row r="5" customFormat="false" ht="12.75" hidden="false" customHeight="true" outlineLevel="0" collapsed="false">
      <c r="A5" s="12"/>
      <c r="B5" s="13"/>
      <c r="C5" s="36" t="s">
        <v>17</v>
      </c>
      <c r="D5" s="37" t="n">
        <v>69</v>
      </c>
      <c r="E5" s="26" t="n">
        <f aca="false">D5*$E$1</f>
        <v>2967</v>
      </c>
      <c r="H5" s="27" t="s">
        <v>18</v>
      </c>
      <c r="I5" s="28" t="n">
        <f aca="false">SUMIF($C$1:$C$187,H5,$E$1:$E$187)</f>
        <v>1935</v>
      </c>
      <c r="J5" s="29" t="n">
        <f aca="false">IF(P5&lt;&gt;"", ROUNDUP(I5/P5,0), I5/1000)</f>
        <v>2</v>
      </c>
      <c r="K5" s="29" t="s">
        <v>19</v>
      </c>
      <c r="L5" s="28"/>
      <c r="M5" s="30" t="n">
        <f aca="false">J5-L5</f>
        <v>2</v>
      </c>
      <c r="N5" s="31" t="n">
        <v>4</v>
      </c>
      <c r="O5" s="32" t="n">
        <f aca="false">N5*M5</f>
        <v>8</v>
      </c>
      <c r="P5" s="33" t="n">
        <v>1000</v>
      </c>
      <c r="Q5" s="10"/>
      <c r="R5" s="10"/>
      <c r="S5" s="10"/>
      <c r="T5" s="10"/>
      <c r="U5" s="10"/>
      <c r="W5" s="0"/>
      <c r="X5" s="22" t="n">
        <v>22</v>
      </c>
      <c r="Y5" s="22" t="s">
        <v>20</v>
      </c>
      <c r="Z5" s="22"/>
      <c r="AA5" s="23"/>
    </row>
    <row r="6" customFormat="false" ht="12.75" hidden="false" customHeight="true" outlineLevel="0" collapsed="false">
      <c r="A6" s="12"/>
      <c r="B6" s="13"/>
      <c r="C6" s="36" t="s">
        <v>21</v>
      </c>
      <c r="D6" s="25" t="n">
        <v>30</v>
      </c>
      <c r="E6" s="26" t="n">
        <f aca="false">D6*$E$1</f>
        <v>1290</v>
      </c>
      <c r="H6" s="27" t="s">
        <v>22</v>
      </c>
      <c r="I6" s="28" t="n">
        <f aca="false">SUMIF($C$1:$C$187,H6,$E$1:$E$187)</f>
        <v>473</v>
      </c>
      <c r="J6" s="29" t="n">
        <f aca="false">IF(P6&lt;&gt;"", ROUNDUP(I6/P6,0), I6/1000)</f>
        <v>1</v>
      </c>
      <c r="K6" s="29" t="s">
        <v>19</v>
      </c>
      <c r="L6" s="28"/>
      <c r="M6" s="30" t="n">
        <f aca="false">J6-L6</f>
        <v>1</v>
      </c>
      <c r="N6" s="31" t="n">
        <v>30</v>
      </c>
      <c r="O6" s="45" t="n">
        <f aca="false">N6*M6</f>
        <v>30</v>
      </c>
      <c r="P6" s="46" t="n">
        <v>500</v>
      </c>
      <c r="Q6" s="10"/>
      <c r="R6" s="10"/>
      <c r="S6" s="10"/>
      <c r="T6" s="10"/>
      <c r="U6" s="10"/>
      <c r="W6" s="0"/>
      <c r="X6" s="47" t="n">
        <v>9</v>
      </c>
      <c r="Y6" s="22" t="s">
        <v>20</v>
      </c>
      <c r="Z6" s="47"/>
      <c r="AA6" s="47"/>
    </row>
    <row r="7" customFormat="false" ht="12.75" hidden="false" customHeight="true" outlineLevel="0" collapsed="false">
      <c r="A7" s="12"/>
      <c r="B7" s="13"/>
      <c r="C7" s="48" t="s">
        <v>23</v>
      </c>
      <c r="D7" s="37" t="n">
        <v>5</v>
      </c>
      <c r="E7" s="26" t="n">
        <f aca="false">D7*$E$1</f>
        <v>215</v>
      </c>
      <c r="H7" s="27" t="s">
        <v>24</v>
      </c>
      <c r="I7" s="28" t="n">
        <f aca="false">SUMIF($C$1:$C$187,H7,$E$1:$E$187)</f>
        <v>860</v>
      </c>
      <c r="J7" s="29" t="n">
        <f aca="false">IF(P7&lt;&gt;"", ROUNDUP(I7/P7,0), I7/1000)</f>
        <v>3</v>
      </c>
      <c r="K7" s="29" t="s">
        <v>19</v>
      </c>
      <c r="L7" s="28"/>
      <c r="M7" s="30" t="n">
        <f aca="false">J7-L7</f>
        <v>3</v>
      </c>
      <c r="N7" s="31" t="n">
        <v>7</v>
      </c>
      <c r="O7" s="45" t="n">
        <f aca="false">N7*M7</f>
        <v>21</v>
      </c>
      <c r="P7" s="33" t="n">
        <v>300</v>
      </c>
      <c r="Q7" s="10"/>
      <c r="R7" s="10"/>
      <c r="S7" s="10"/>
      <c r="T7" s="10"/>
      <c r="U7" s="10"/>
      <c r="W7" s="0"/>
      <c r="X7" s="34" t="n">
        <v>13</v>
      </c>
      <c r="Y7" s="22" t="s">
        <v>20</v>
      </c>
      <c r="Z7" s="34"/>
      <c r="AA7" s="35"/>
    </row>
    <row r="8" customFormat="false" ht="12.75" hidden="false" customHeight="true" outlineLevel="0" collapsed="false">
      <c r="A8" s="12"/>
      <c r="B8" s="13"/>
      <c r="C8" s="36" t="s">
        <v>25</v>
      </c>
      <c r="D8" s="37" t="n">
        <v>25</v>
      </c>
      <c r="E8" s="26" t="n">
        <f aca="false">D8*$E$1</f>
        <v>1075</v>
      </c>
      <c r="H8" s="27" t="s">
        <v>26</v>
      </c>
      <c r="I8" s="28" t="n">
        <f aca="false">SUMIF($C$1:$C$187,H8,$E$1:$E$187)</f>
        <v>3784</v>
      </c>
      <c r="J8" s="29" t="n">
        <f aca="false">IF(P8&lt;&gt;"", ROUNDUP(I8/P8,0), I8/1000)</f>
        <v>3.784</v>
      </c>
      <c r="K8" s="29" t="s">
        <v>15</v>
      </c>
      <c r="L8" s="28"/>
      <c r="M8" s="30" t="n">
        <f aca="false">J8-L8</f>
        <v>3.784</v>
      </c>
      <c r="N8" s="31" t="n">
        <v>15</v>
      </c>
      <c r="O8" s="45" t="n">
        <f aca="false">N8*M8</f>
        <v>56.76</v>
      </c>
      <c r="P8" s="33"/>
      <c r="Q8" s="10"/>
      <c r="R8" s="10"/>
      <c r="S8" s="10"/>
      <c r="T8" s="10"/>
      <c r="U8" s="10"/>
      <c r="W8" s="0"/>
      <c r="X8" s="22" t="n">
        <v>22</v>
      </c>
      <c r="Y8" s="22" t="s">
        <v>20</v>
      </c>
      <c r="Z8" s="22"/>
      <c r="AA8" s="22"/>
    </row>
    <row r="9" customFormat="false" ht="12.75" hidden="false" customHeight="true" outlineLevel="0" collapsed="false">
      <c r="A9" s="12"/>
      <c r="B9" s="13"/>
      <c r="C9" s="49" t="s">
        <v>27</v>
      </c>
      <c r="D9" s="50" t="n">
        <v>6</v>
      </c>
      <c r="E9" s="26" t="n">
        <f aca="false">D9*$E$1</f>
        <v>258</v>
      </c>
      <c r="H9" s="27" t="s">
        <v>28</v>
      </c>
      <c r="I9" s="28" t="n">
        <f aca="false">SUMIF($C$1:$C$187,H9,$E$1:$E$187)</f>
        <v>3225</v>
      </c>
      <c r="J9" s="29" t="n">
        <f aca="false">IF(P9&lt;&gt;"", ROUNDUP(I9/P9,0), I9/1000)</f>
        <v>7</v>
      </c>
      <c r="K9" s="29" t="s">
        <v>19</v>
      </c>
      <c r="L9" s="28"/>
      <c r="M9" s="30" t="n">
        <f aca="false">J9-L9</f>
        <v>7</v>
      </c>
      <c r="N9" s="31" t="n">
        <v>2</v>
      </c>
      <c r="O9" s="45" t="n">
        <f aca="false">N9*M9</f>
        <v>14</v>
      </c>
      <c r="P9" s="51" t="n">
        <v>500</v>
      </c>
      <c r="Q9" s="10"/>
      <c r="R9" s="10"/>
      <c r="S9" s="10"/>
      <c r="T9" s="10"/>
      <c r="U9" s="10"/>
      <c r="W9" s="0"/>
      <c r="X9" s="43" t="n">
        <v>15</v>
      </c>
      <c r="Y9" s="22" t="s">
        <v>20</v>
      </c>
      <c r="Z9" s="43"/>
      <c r="AA9" s="43"/>
    </row>
    <row r="10" customFormat="false" ht="12.75" hidden="false" customHeight="true" outlineLevel="0" collapsed="false">
      <c r="A10" s="12"/>
      <c r="B10" s="13"/>
      <c r="C10" s="52" t="s">
        <v>29</v>
      </c>
      <c r="D10" s="28" t="n">
        <v>20</v>
      </c>
      <c r="E10" s="26" t="n">
        <f aca="false">D10*$E$1</f>
        <v>860</v>
      </c>
      <c r="H10" s="48" t="s">
        <v>30</v>
      </c>
      <c r="I10" s="39" t="n">
        <f aca="false">SUMIF($C$1:$C$187,H10,$E$1:$E$187)</f>
        <v>3870</v>
      </c>
      <c r="J10" s="29" t="n">
        <f aca="false">IF(P10&lt;&gt;"", ROUNDUP(I10/P10,0), I10/1000)</f>
        <v>8</v>
      </c>
      <c r="K10" s="29" t="s">
        <v>19</v>
      </c>
      <c r="L10" s="39"/>
      <c r="M10" s="30" t="n">
        <f aca="false">J10-L10</f>
        <v>8</v>
      </c>
      <c r="N10" s="31" t="n">
        <v>2</v>
      </c>
      <c r="O10" s="45" t="n">
        <f aca="false">N10*M10</f>
        <v>16</v>
      </c>
      <c r="P10" s="51" t="n">
        <v>500</v>
      </c>
      <c r="Q10" s="10"/>
      <c r="R10" s="10"/>
      <c r="S10" s="10"/>
      <c r="T10" s="10"/>
      <c r="U10" s="10"/>
      <c r="W10" s="0"/>
      <c r="X10" s="53" t="n">
        <v>22</v>
      </c>
      <c r="Y10" s="22" t="s">
        <v>31</v>
      </c>
      <c r="Z10" s="53"/>
      <c r="AA10" s="54"/>
    </row>
    <row r="11" customFormat="false" ht="12.75" hidden="false" customHeight="true" outlineLevel="0" collapsed="false">
      <c r="A11" s="12"/>
      <c r="B11" s="13"/>
      <c r="C11" s="24" t="s">
        <v>32</v>
      </c>
      <c r="D11" s="25" t="n">
        <v>12</v>
      </c>
      <c r="E11" s="26" t="n">
        <f aca="false">D11*$E$1</f>
        <v>516</v>
      </c>
      <c r="H11" s="48" t="s">
        <v>33</v>
      </c>
      <c r="I11" s="28" t="n">
        <f aca="false">SUMIF($C$1:$C$187,H11,$E$1:$E$187)</f>
        <v>8600</v>
      </c>
      <c r="J11" s="29" t="n">
        <f aca="false">IF(P11&lt;&gt;"", ROUNDUP(I11/P11,0), I11/1000)</f>
        <v>8.6</v>
      </c>
      <c r="K11" s="29" t="s">
        <v>15</v>
      </c>
      <c r="L11" s="28"/>
      <c r="M11" s="30" t="n">
        <f aca="false">J11-L11</f>
        <v>8.6</v>
      </c>
      <c r="N11" s="31" t="n">
        <v>3</v>
      </c>
      <c r="O11" s="45" t="n">
        <f aca="false">N11*M11</f>
        <v>25.8</v>
      </c>
      <c r="P11" s="33"/>
      <c r="Q11" s="55"/>
      <c r="R11" s="10"/>
      <c r="S11" s="10"/>
      <c r="T11" s="10"/>
      <c r="U11" s="10"/>
      <c r="W11" s="0"/>
      <c r="X11" s="56" t="n">
        <v>11</v>
      </c>
      <c r="Y11" s="22" t="s">
        <v>31</v>
      </c>
      <c r="Z11" s="56"/>
      <c r="AA11" s="57"/>
    </row>
    <row r="12" customFormat="false" ht="12.75" hidden="false" customHeight="true" outlineLevel="0" collapsed="false">
      <c r="A12" s="12"/>
      <c r="B12" s="13"/>
      <c r="C12" s="27" t="s">
        <v>34</v>
      </c>
      <c r="D12" s="50" t="n">
        <v>1.3</v>
      </c>
      <c r="E12" s="26" t="n">
        <f aca="false">D12*$E$1</f>
        <v>55.9</v>
      </c>
      <c r="H12" s="27" t="s">
        <v>35</v>
      </c>
      <c r="I12" s="28" t="n">
        <f aca="false">SUMIF($C$1:$C$187,H12,$E$1:$E$187)</f>
        <v>430</v>
      </c>
      <c r="J12" s="29" t="n">
        <f aca="false">IF(P12&lt;&gt;"", ROUNDUP(I12/P12,0), I12/1000)</f>
        <v>1</v>
      </c>
      <c r="K12" s="29" t="s">
        <v>19</v>
      </c>
      <c r="L12" s="28"/>
      <c r="M12" s="30" t="n">
        <f aca="false">J12-L12</f>
        <v>1</v>
      </c>
      <c r="N12" s="31" t="n">
        <v>3</v>
      </c>
      <c r="O12" s="45" t="n">
        <f aca="false">N12*M12</f>
        <v>3</v>
      </c>
      <c r="P12" s="51" t="n">
        <v>500</v>
      </c>
      <c r="Q12" s="58" t="s">
        <v>36</v>
      </c>
      <c r="R12" s="59"/>
      <c r="S12" s="59"/>
      <c r="T12" s="59"/>
      <c r="U12" s="59"/>
      <c r="V12" s="59"/>
      <c r="W12" s="0"/>
      <c r="X12" s="34" t="n">
        <v>22</v>
      </c>
      <c r="Y12" s="22" t="s">
        <v>37</v>
      </c>
      <c r="Z12" s="53"/>
      <c r="AA12" s="53"/>
    </row>
    <row r="13" customFormat="false" ht="12.75" hidden="false" customHeight="true" outlineLevel="0" collapsed="false">
      <c r="A13" s="12"/>
      <c r="B13" s="13"/>
      <c r="C13" s="60" t="s">
        <v>38</v>
      </c>
      <c r="D13" s="50" t="n">
        <v>3</v>
      </c>
      <c r="E13" s="26" t="n">
        <f aca="false">D13*$E$1</f>
        <v>129</v>
      </c>
      <c r="H13" s="27" t="s">
        <v>34</v>
      </c>
      <c r="I13" s="28" t="n">
        <f aca="false">SUMIF($C$1:$C$187,H13,$E$1:$E$187)</f>
        <v>408.5</v>
      </c>
      <c r="J13" s="29" t="n">
        <f aca="false">IF(P13&lt;&gt;"", ROUNDUP(I13/P13,0), I13/1000)</f>
        <v>5</v>
      </c>
      <c r="K13" s="29" t="s">
        <v>19</v>
      </c>
      <c r="L13" s="28"/>
      <c r="M13" s="30" t="n">
        <f aca="false">J13-L13</f>
        <v>5</v>
      </c>
      <c r="N13" s="31" t="n">
        <v>5</v>
      </c>
      <c r="O13" s="45" t="n">
        <f aca="false">N13*M13</f>
        <v>25</v>
      </c>
      <c r="P13" s="33" t="n">
        <v>100</v>
      </c>
      <c r="Q13" s="61" t="s">
        <v>39</v>
      </c>
      <c r="R13" s="59"/>
      <c r="S13" s="59"/>
      <c r="T13" s="59"/>
      <c r="U13" s="59"/>
      <c r="V13" s="59"/>
      <c r="W13" s="0"/>
      <c r="X13" s="43" t="n">
        <v>10</v>
      </c>
      <c r="Y13" s="22" t="s">
        <v>37</v>
      </c>
      <c r="Z13" s="56"/>
      <c r="AA13" s="56"/>
    </row>
    <row r="14" customFormat="false" ht="12.75" hidden="false" customHeight="true" outlineLevel="0" collapsed="false">
      <c r="A14" s="12"/>
      <c r="B14" s="13"/>
      <c r="C14" s="62" t="s">
        <v>40</v>
      </c>
      <c r="D14" s="50" t="n">
        <v>30</v>
      </c>
      <c r="E14" s="26" t="n">
        <f aca="false">D14*$E$1</f>
        <v>1290</v>
      </c>
      <c r="H14" s="48" t="s">
        <v>41</v>
      </c>
      <c r="I14" s="39" t="n">
        <f aca="false">SUMIF($C$1:$C$187,H14,$E$1:$E$187)</f>
        <v>4300</v>
      </c>
      <c r="J14" s="29" t="n">
        <f aca="false">IF(P14&lt;&gt;"", ROUNDUP(I14/P14,0), I14/1000)</f>
        <v>7</v>
      </c>
      <c r="K14" s="29" t="s">
        <v>19</v>
      </c>
      <c r="L14" s="39"/>
      <c r="M14" s="30" t="n">
        <f aca="false">J14-L14</f>
        <v>7</v>
      </c>
      <c r="N14" s="31" t="n">
        <v>3</v>
      </c>
      <c r="O14" s="45" t="n">
        <f aca="false">N14*M14</f>
        <v>21</v>
      </c>
      <c r="P14" s="51" t="n">
        <v>700</v>
      </c>
      <c r="Q14" s="63" t="s">
        <v>42</v>
      </c>
      <c r="R14" s="63" t="s">
        <v>42</v>
      </c>
      <c r="S14" s="59"/>
      <c r="T14" s="59"/>
      <c r="U14" s="59"/>
      <c r="V14" s="59"/>
      <c r="W14" s="0"/>
      <c r="X14" s="64" t="n">
        <v>14</v>
      </c>
      <c r="Y14" s="22" t="s">
        <v>43</v>
      </c>
      <c r="Z14" s="22"/>
      <c r="AA14" s="23"/>
    </row>
    <row r="15" customFormat="false" ht="12.75" hidden="false" customHeight="true" outlineLevel="0" collapsed="false">
      <c r="A15" s="12"/>
      <c r="B15" s="13"/>
      <c r="C15" s="62" t="s">
        <v>44</v>
      </c>
      <c r="D15" s="28" t="n">
        <v>10</v>
      </c>
      <c r="E15" s="26" t="n">
        <f aca="false">D15*$E$1</f>
        <v>430</v>
      </c>
      <c r="H15" s="48" t="s">
        <v>4</v>
      </c>
      <c r="I15" s="39" t="n">
        <f aca="false">SUMIF($C$1:$C$187,H15,$E$1:$E$187)</f>
        <v>6880</v>
      </c>
      <c r="J15" s="29" t="n">
        <f aca="false">IF(P15&lt;&gt;"", ROUNDUP(I15/P15,0), I15/1000)</f>
        <v>10</v>
      </c>
      <c r="K15" s="29" t="s">
        <v>19</v>
      </c>
      <c r="L15" s="39"/>
      <c r="M15" s="30" t="n">
        <f aca="false">J15-L15</f>
        <v>10</v>
      </c>
      <c r="N15" s="31" t="n">
        <v>2.5</v>
      </c>
      <c r="O15" s="45" t="n">
        <f aca="false">N15*M15</f>
        <v>25</v>
      </c>
      <c r="P15" s="51" t="n">
        <v>700</v>
      </c>
      <c r="Q15" s="65" t="s">
        <v>45</v>
      </c>
      <c r="R15" s="59"/>
      <c r="S15" s="59"/>
      <c r="T15" s="59"/>
      <c r="U15" s="59"/>
      <c r="V15" s="59"/>
      <c r="W15" s="0"/>
      <c r="X15" s="47" t="n">
        <v>10</v>
      </c>
      <c r="Y15" s="22" t="s">
        <v>46</v>
      </c>
      <c r="Z15" s="47"/>
      <c r="AA15" s="66"/>
    </row>
    <row r="16" customFormat="false" ht="12.75" hidden="false" customHeight="true" outlineLevel="0" collapsed="false">
      <c r="A16" s="12"/>
      <c r="B16" s="13"/>
      <c r="C16" s="60"/>
      <c r="D16" s="67"/>
      <c r="E16" s="26"/>
      <c r="H16" s="27" t="s">
        <v>47</v>
      </c>
      <c r="I16" s="28" t="n">
        <f aca="false">SUMIF($C$1:$C$187,H16,$E$1:$E$187)</f>
        <v>2580</v>
      </c>
      <c r="J16" s="29" t="n">
        <f aca="false">IF(P16&lt;&gt;"", ROUNDUP(I16/P16,0), I16/1000)</f>
        <v>10</v>
      </c>
      <c r="K16" s="29" t="s">
        <v>19</v>
      </c>
      <c r="L16" s="28"/>
      <c r="M16" s="30" t="n">
        <f aca="false">J16-L16</f>
        <v>10</v>
      </c>
      <c r="N16" s="31" t="n">
        <v>3</v>
      </c>
      <c r="O16" s="45" t="n">
        <f aca="false">N16*M16</f>
        <v>30</v>
      </c>
      <c r="P16" s="51" t="n">
        <v>270</v>
      </c>
      <c r="Q16" s="65" t="s">
        <v>48</v>
      </c>
      <c r="R16" s="59"/>
      <c r="S16" s="59"/>
      <c r="T16" s="59"/>
      <c r="U16" s="59"/>
      <c r="V16" s="59"/>
      <c r="W16" s="0"/>
      <c r="X16" s="56" t="n">
        <v>11</v>
      </c>
      <c r="Y16" s="22" t="s">
        <v>49</v>
      </c>
      <c r="Z16" s="56"/>
      <c r="AA16" s="56"/>
    </row>
    <row r="17" customFormat="false" ht="12.75" hidden="false" customHeight="true" outlineLevel="0" collapsed="false">
      <c r="A17" s="12"/>
      <c r="B17" s="13"/>
      <c r="C17" s="60"/>
      <c r="D17" s="67"/>
      <c r="E17" s="26"/>
      <c r="H17" s="48" t="s">
        <v>23</v>
      </c>
      <c r="I17" s="39" t="n">
        <f aca="false">SUMIF($C$1:$C$187,H17,$E$1:$E$187)</f>
        <v>1935</v>
      </c>
      <c r="J17" s="29" t="n">
        <f aca="false">IF(P17&lt;&gt;"", ROUNDUP(I17/P17,0), I17/1000)</f>
        <v>1.935</v>
      </c>
      <c r="K17" s="29" t="s">
        <v>15</v>
      </c>
      <c r="L17" s="39"/>
      <c r="M17" s="30" t="n">
        <f aca="false">J17-L17</f>
        <v>1.935</v>
      </c>
      <c r="N17" s="31" t="n">
        <v>10</v>
      </c>
      <c r="O17" s="45" t="n">
        <f aca="false">N17*M17</f>
        <v>19.35</v>
      </c>
      <c r="P17" s="33"/>
      <c r="Q17" s="65" t="s">
        <v>50</v>
      </c>
      <c r="R17" s="59"/>
      <c r="S17" s="59"/>
      <c r="T17" s="59"/>
      <c r="U17" s="59"/>
      <c r="V17" s="59"/>
      <c r="W17" s="0"/>
      <c r="X17" s="68" t="n">
        <v>22</v>
      </c>
      <c r="Y17" s="22" t="s">
        <v>46</v>
      </c>
      <c r="Z17" s="68"/>
      <c r="AA17" s="22"/>
    </row>
    <row r="18" customFormat="false" ht="12.75" hidden="false" customHeight="true" outlineLevel="0" collapsed="false">
      <c r="A18" s="12"/>
      <c r="B18" s="13"/>
      <c r="C18" s="69"/>
      <c r="D18" s="70"/>
      <c r="E18" s="71"/>
      <c r="H18" s="48" t="s">
        <v>51</v>
      </c>
      <c r="I18" s="39" t="n">
        <f aca="false">SUMIF($C$1:$C$187,H18,$E$1:$E$187)</f>
        <v>0</v>
      </c>
      <c r="J18" s="29" t="n">
        <f aca="false">IF(P18&lt;&gt;"", ROUNDUP(I18/P18,0), I18/1000)</f>
        <v>0</v>
      </c>
      <c r="K18" s="29" t="s">
        <v>15</v>
      </c>
      <c r="L18" s="39"/>
      <c r="M18" s="30" t="n">
        <f aca="false">J18-L18</f>
        <v>0</v>
      </c>
      <c r="N18" s="31" t="n">
        <v>0</v>
      </c>
      <c r="O18" s="45" t="n">
        <f aca="false">N18*M18</f>
        <v>0</v>
      </c>
      <c r="P18" s="33"/>
      <c r="Q18" s="59"/>
      <c r="R18" s="59"/>
      <c r="S18" s="59"/>
      <c r="T18" s="59"/>
      <c r="U18" s="59"/>
      <c r="V18" s="59"/>
      <c r="W18" s="0"/>
      <c r="X18" s="72" t="n">
        <v>7</v>
      </c>
      <c r="Y18" s="22" t="s">
        <v>46</v>
      </c>
      <c r="Z18" s="72"/>
      <c r="AA18" s="34"/>
    </row>
    <row r="19" customFormat="false" ht="12.75" hidden="false" customHeight="true" outlineLevel="0" collapsed="false">
      <c r="A19" s="73" t="s">
        <v>52</v>
      </c>
      <c r="B19" s="13" t="s">
        <v>53</v>
      </c>
      <c r="C19" s="74" t="s">
        <v>28</v>
      </c>
      <c r="D19" s="75" t="n">
        <v>75</v>
      </c>
      <c r="E19" s="16" t="n">
        <f aca="false">D19*$E$1</f>
        <v>3225</v>
      </c>
      <c r="H19" s="48" t="s">
        <v>54</v>
      </c>
      <c r="I19" s="28" t="n">
        <f aca="false">SUMIF($C$1:$C$187,H19,$E$1:$E$187)</f>
        <v>473</v>
      </c>
      <c r="J19" s="29" t="n">
        <f aca="false">IF(P19&lt;&gt;"", ROUNDUP(I19/P19,0), I19/1000)</f>
        <v>2</v>
      </c>
      <c r="K19" s="29" t="s">
        <v>19</v>
      </c>
      <c r="L19" s="28"/>
      <c r="M19" s="30" t="n">
        <f aca="false">J19-L19</f>
        <v>2</v>
      </c>
      <c r="N19" s="31" t="n">
        <v>15</v>
      </c>
      <c r="O19" s="45" t="n">
        <f aca="false">N19*M19</f>
        <v>30</v>
      </c>
      <c r="P19" s="76" t="n">
        <v>250</v>
      </c>
      <c r="Q19" s="61" t="s">
        <v>55</v>
      </c>
      <c r="R19" s="59"/>
      <c r="S19" s="59"/>
      <c r="T19" s="59"/>
      <c r="U19" s="59"/>
      <c r="V19" s="59"/>
      <c r="W19" s="0"/>
      <c r="X19" s="56" t="n">
        <v>9</v>
      </c>
      <c r="Y19" s="22" t="s">
        <v>43</v>
      </c>
      <c r="Z19" s="56"/>
      <c r="AA19" s="43"/>
    </row>
    <row r="20" customFormat="false" ht="12.75" hidden="false" customHeight="true" outlineLevel="0" collapsed="false">
      <c r="A20" s="73"/>
      <c r="B20" s="13"/>
      <c r="C20" s="62" t="s">
        <v>44</v>
      </c>
      <c r="D20" s="28" t="n">
        <v>10</v>
      </c>
      <c r="E20" s="26" t="n">
        <f aca="false">D20*$E$1</f>
        <v>430</v>
      </c>
      <c r="H20" s="50" t="s">
        <v>56</v>
      </c>
      <c r="I20" s="28" t="n">
        <f aca="false">SUMIF($C$1:$C$187,H20,$E$1:$E$187)</f>
        <v>90.3</v>
      </c>
      <c r="J20" s="29" t="n">
        <f aca="false">IF(P20&lt;&gt;"", ROUNDUP(I20/P20,0), I20/1000)</f>
        <v>1</v>
      </c>
      <c r="K20" s="29" t="s">
        <v>19</v>
      </c>
      <c r="L20" s="28"/>
      <c r="M20" s="30" t="n">
        <f aca="false">J20-L20</f>
        <v>1</v>
      </c>
      <c r="N20" s="31" t="n">
        <v>10</v>
      </c>
      <c r="O20" s="45" t="n">
        <f aca="false">N20*M20</f>
        <v>10</v>
      </c>
      <c r="P20" s="76" t="n">
        <v>95</v>
      </c>
      <c r="Q20" s="63" t="s">
        <v>53</v>
      </c>
      <c r="R20" s="63" t="s">
        <v>53</v>
      </c>
      <c r="S20" s="59"/>
      <c r="T20" s="59"/>
      <c r="U20" s="59"/>
      <c r="V20" s="59"/>
      <c r="W20" s="0"/>
      <c r="X20" s="68" t="n">
        <v>14</v>
      </c>
      <c r="Y20" s="22" t="s">
        <v>46</v>
      </c>
      <c r="Z20" s="68"/>
      <c r="AA20" s="22"/>
    </row>
    <row r="21" customFormat="false" ht="12.75" hidden="false" customHeight="true" outlineLevel="0" collapsed="false">
      <c r="A21" s="73"/>
      <c r="B21" s="13"/>
      <c r="C21" s="60" t="s">
        <v>47</v>
      </c>
      <c r="D21" s="28" t="n">
        <v>20</v>
      </c>
      <c r="E21" s="26" t="n">
        <f aca="false">D21*$E$1</f>
        <v>860</v>
      </c>
      <c r="H21" s="77" t="s">
        <v>57</v>
      </c>
      <c r="I21" s="28" t="n">
        <f aca="false">SUMIF($C$1:$C$187,H21,$E$1:$E$187)</f>
        <v>258</v>
      </c>
      <c r="J21" s="29" t="n">
        <f aca="false">IF(P21&lt;&gt;"", ROUNDUP(I21/P21,0), I21/1000)</f>
        <v>2</v>
      </c>
      <c r="K21" s="29" t="s">
        <v>19</v>
      </c>
      <c r="L21" s="28"/>
      <c r="M21" s="30" t="n">
        <f aca="false">J21-L21</f>
        <v>2</v>
      </c>
      <c r="N21" s="31" t="n">
        <v>10</v>
      </c>
      <c r="O21" s="45" t="n">
        <f aca="false">N21*M21</f>
        <v>20</v>
      </c>
      <c r="P21" s="33" t="n">
        <v>150</v>
      </c>
      <c r="Q21" s="65" t="s">
        <v>58</v>
      </c>
      <c r="R21" s="59"/>
      <c r="S21" s="59"/>
      <c r="T21" s="59"/>
      <c r="U21" s="59"/>
      <c r="V21" s="59"/>
      <c r="W21" s="0"/>
      <c r="X21" s="56" t="n">
        <v>12</v>
      </c>
      <c r="Y21" s="22" t="s">
        <v>43</v>
      </c>
      <c r="Z21" s="72"/>
      <c r="AA21" s="34"/>
    </row>
    <row r="22" customFormat="false" ht="12.75" hidden="false" customHeight="true" outlineLevel="0" collapsed="false">
      <c r="A22" s="73"/>
      <c r="B22" s="13"/>
      <c r="C22" s="60" t="s">
        <v>59</v>
      </c>
      <c r="D22" s="67" t="n">
        <v>10</v>
      </c>
      <c r="E22" s="26" t="n">
        <f aca="false">D22*$E$1</f>
        <v>430</v>
      </c>
      <c r="H22" s="27" t="s">
        <v>60</v>
      </c>
      <c r="I22" s="28" t="n">
        <f aca="false">SUMIF($C$1:$C$187,H22,$E$1:$E$187)</f>
        <v>0</v>
      </c>
      <c r="J22" s="29" t="n">
        <f aca="false">IF(P22&lt;&gt;"", ROUNDUP(I22/P22,0), I22/1000)</f>
        <v>0</v>
      </c>
      <c r="K22" s="29" t="s">
        <v>19</v>
      </c>
      <c r="L22" s="28"/>
      <c r="M22" s="30" t="n">
        <f aca="false">J22-L22</f>
        <v>0</v>
      </c>
      <c r="N22" s="31" t="n">
        <v>0</v>
      </c>
      <c r="O22" s="45" t="n">
        <f aca="false">N22*M22</f>
        <v>0</v>
      </c>
      <c r="P22" s="33"/>
      <c r="Q22" s="65" t="s">
        <v>61</v>
      </c>
      <c r="R22" s="59"/>
      <c r="S22" s="59"/>
      <c r="T22" s="59"/>
      <c r="U22" s="59"/>
      <c r="V22" s="59"/>
      <c r="W22" s="0"/>
      <c r="X22" s="22" t="n">
        <v>22</v>
      </c>
      <c r="Y22" s="22" t="s">
        <v>62</v>
      </c>
      <c r="Z22" s="22"/>
      <c r="AA22" s="23"/>
    </row>
    <row r="23" customFormat="false" ht="12.75" hidden="false" customHeight="true" outlineLevel="0" collapsed="false">
      <c r="A23" s="73"/>
      <c r="B23" s="13"/>
      <c r="C23" s="60" t="s">
        <v>63</v>
      </c>
      <c r="D23" s="28" t="n">
        <v>10</v>
      </c>
      <c r="E23" s="26" t="n">
        <f aca="false">D23*$E$1</f>
        <v>430</v>
      </c>
      <c r="H23" s="48" t="s">
        <v>17</v>
      </c>
      <c r="I23" s="39" t="n">
        <f aca="false">SUMIF($C$1:$C$187,H23,$E$1:$E$187)</f>
        <v>2967</v>
      </c>
      <c r="J23" s="29" t="n">
        <f aca="false">IF(P23&lt;&gt;"", ROUNDUP(I23/P23,0), I23/1000)</f>
        <v>2.967</v>
      </c>
      <c r="K23" s="29" t="s">
        <v>15</v>
      </c>
      <c r="L23" s="39"/>
      <c r="M23" s="30" t="n">
        <f aca="false">J23-L23</f>
        <v>2.967</v>
      </c>
      <c r="N23" s="31" t="n">
        <v>2.5</v>
      </c>
      <c r="O23" s="45" t="n">
        <f aca="false">N23*M23</f>
        <v>7.4175</v>
      </c>
      <c r="P23" s="33"/>
      <c r="Q23" s="65" t="s">
        <v>50</v>
      </c>
      <c r="R23" s="59"/>
      <c r="S23" s="59"/>
      <c r="T23" s="59"/>
      <c r="U23" s="59"/>
      <c r="V23" s="59"/>
      <c r="W23" s="0"/>
      <c r="X23" s="43" t="n">
        <v>9</v>
      </c>
      <c r="Y23" s="22" t="s">
        <v>62</v>
      </c>
      <c r="Z23" s="43"/>
      <c r="AA23" s="44"/>
    </row>
    <row r="24" customFormat="false" ht="12.75" hidden="false" customHeight="true" outlineLevel="0" collapsed="false">
      <c r="A24" s="73"/>
      <c r="B24" s="13"/>
      <c r="C24" s="78" t="s">
        <v>64</v>
      </c>
      <c r="D24" s="79" t="n">
        <v>2</v>
      </c>
      <c r="E24" s="80" t="n">
        <f aca="false">D24*$E$1</f>
        <v>86</v>
      </c>
      <c r="H24" s="78" t="s">
        <v>65</v>
      </c>
      <c r="I24" s="28" t="n">
        <f aca="false">SUMIF($C$1:$C$187,H24,$E$1:$E$187)</f>
        <v>4730</v>
      </c>
      <c r="J24" s="29" t="n">
        <f aca="false">IF(P24&lt;&gt;"", ROUNDUP(I24/P24,0), I24/1000)</f>
        <v>4.73</v>
      </c>
      <c r="K24" s="29" t="s">
        <v>15</v>
      </c>
      <c r="L24" s="28"/>
      <c r="M24" s="30" t="n">
        <f aca="false">J24-L24</f>
        <v>4.73</v>
      </c>
      <c r="N24" s="31" t="n">
        <v>30</v>
      </c>
      <c r="O24" s="45" t="n">
        <f aca="false">N24*M24</f>
        <v>141.9</v>
      </c>
      <c r="P24" s="33"/>
      <c r="Q24" s="59"/>
      <c r="R24" s="59"/>
      <c r="S24" s="59"/>
      <c r="T24" s="59"/>
      <c r="U24" s="59"/>
      <c r="V24" s="59"/>
      <c r="W24" s="0"/>
      <c r="X24" s="22" t="n">
        <v>22</v>
      </c>
      <c r="Y24" s="22" t="s">
        <v>62</v>
      </c>
      <c r="Z24" s="22"/>
      <c r="AA24" s="23"/>
    </row>
    <row r="25" customFormat="false" ht="12.75" hidden="false" customHeight="true" outlineLevel="0" collapsed="false">
      <c r="A25" s="73"/>
      <c r="B25" s="13"/>
      <c r="C25" s="36" t="s">
        <v>66</v>
      </c>
      <c r="D25" s="67" t="n">
        <v>14</v>
      </c>
      <c r="E25" s="26" t="n">
        <f aca="false">D25*$E$1</f>
        <v>602</v>
      </c>
      <c r="H25" s="27" t="s">
        <v>32</v>
      </c>
      <c r="I25" s="28" t="n">
        <f aca="false">SUMIF($C$1:$C$187,H25,$E$1:$E$187)</f>
        <v>1376</v>
      </c>
      <c r="J25" s="29" t="n">
        <f aca="false">IF(P25&lt;&gt;"", ROUNDUP(I25/P25,0), I25/1000)</f>
        <v>3</v>
      </c>
      <c r="K25" s="29" t="s">
        <v>19</v>
      </c>
      <c r="L25" s="28"/>
      <c r="M25" s="30" t="n">
        <f aca="false">J25-L25</f>
        <v>3</v>
      </c>
      <c r="N25" s="31" t="n">
        <v>7</v>
      </c>
      <c r="O25" s="45" t="n">
        <f aca="false">N25*M25</f>
        <v>21</v>
      </c>
      <c r="P25" s="33" t="n">
        <v>550</v>
      </c>
      <c r="Q25" s="63" t="s">
        <v>67</v>
      </c>
      <c r="R25" s="63" t="s">
        <v>67</v>
      </c>
      <c r="S25" s="59"/>
      <c r="T25" s="59"/>
      <c r="U25" s="59"/>
      <c r="V25" s="59"/>
      <c r="W25" s="0"/>
      <c r="X25" s="34" t="n">
        <v>14</v>
      </c>
      <c r="Y25" s="22" t="s">
        <v>62</v>
      </c>
      <c r="Z25" s="34"/>
      <c r="AA25" s="35"/>
    </row>
    <row r="26" customFormat="false" ht="12.75" hidden="false" customHeight="true" outlineLevel="0" collapsed="false">
      <c r="A26" s="73"/>
      <c r="B26" s="13"/>
      <c r="C26" s="60" t="s">
        <v>40</v>
      </c>
      <c r="D26" s="67" t="n">
        <v>30</v>
      </c>
      <c r="E26" s="26" t="n">
        <f aca="false">D26*$E$1</f>
        <v>1290</v>
      </c>
      <c r="H26" s="81" t="s">
        <v>13</v>
      </c>
      <c r="I26" s="28" t="n">
        <f aca="false">SUMIF($C$1:$C$187,H26,$E$1:$E$187)</f>
        <v>5160</v>
      </c>
      <c r="J26" s="29" t="n">
        <f aca="false">IF(P26&lt;&gt;"", ROUNDUP(I26/P26,0), I26/1000)</f>
        <v>6</v>
      </c>
      <c r="K26" s="29" t="s">
        <v>19</v>
      </c>
      <c r="L26" s="28"/>
      <c r="M26" s="30" t="n">
        <f aca="false">J26-L26</f>
        <v>6</v>
      </c>
      <c r="N26" s="31" t="n">
        <v>18</v>
      </c>
      <c r="O26" s="45" t="n">
        <f aca="false">N26*M26</f>
        <v>108</v>
      </c>
      <c r="P26" s="33" t="n">
        <v>1000</v>
      </c>
      <c r="Q26" s="65" t="s">
        <v>68</v>
      </c>
      <c r="R26" s="59"/>
      <c r="S26" s="59"/>
      <c r="T26" s="59"/>
      <c r="U26" s="59"/>
      <c r="V26" s="59"/>
      <c r="W26" s="0"/>
      <c r="X26" s="23" t="n">
        <v>22</v>
      </c>
      <c r="Y26" s="22" t="s">
        <v>69</v>
      </c>
      <c r="Z26" s="23"/>
      <c r="AA26" s="23"/>
    </row>
    <row r="27" customFormat="false" ht="12.75" hidden="false" customHeight="true" outlineLevel="0" collapsed="false">
      <c r="A27" s="73"/>
      <c r="B27" s="13"/>
      <c r="C27" s="36" t="s">
        <v>54</v>
      </c>
      <c r="D27" s="67" t="n">
        <v>4</v>
      </c>
      <c r="E27" s="26" t="n">
        <f aca="false">D27*$E$1</f>
        <v>172</v>
      </c>
      <c r="H27" s="78" t="s">
        <v>70</v>
      </c>
      <c r="I27" s="28" t="n">
        <f aca="false">SUMIF($C$1:$C$187,H27,$E$1:$E$187)</f>
        <v>1204</v>
      </c>
      <c r="J27" s="29" t="n">
        <f aca="false">IF(P27&lt;&gt;"", ROUNDUP(I27/P27,0), I27/1000)</f>
        <v>4</v>
      </c>
      <c r="K27" s="29" t="s">
        <v>19</v>
      </c>
      <c r="L27" s="28"/>
      <c r="M27" s="30" t="n">
        <f aca="false">J27-L27</f>
        <v>4</v>
      </c>
      <c r="N27" s="31" t="n">
        <v>5</v>
      </c>
      <c r="O27" s="45" t="n">
        <f aca="false">N27*M27</f>
        <v>20</v>
      </c>
      <c r="P27" s="33" t="n">
        <v>340</v>
      </c>
      <c r="Q27" s="65" t="s">
        <v>71</v>
      </c>
      <c r="R27" s="59"/>
      <c r="S27" s="59"/>
      <c r="T27" s="59"/>
      <c r="U27" s="59"/>
      <c r="V27" s="59"/>
      <c r="W27" s="0"/>
      <c r="X27" s="66" t="n">
        <v>22</v>
      </c>
      <c r="Y27" s="22" t="s">
        <v>72</v>
      </c>
      <c r="Z27" s="66"/>
      <c r="AA27" s="66"/>
    </row>
    <row r="28" customFormat="false" ht="12.75" hidden="false" customHeight="true" outlineLevel="0" collapsed="false">
      <c r="A28" s="73"/>
      <c r="B28" s="13"/>
      <c r="C28" s="27" t="s">
        <v>34</v>
      </c>
      <c r="D28" s="67" t="n">
        <v>1.3</v>
      </c>
      <c r="E28" s="26" t="n">
        <f aca="false">D28*$E$1</f>
        <v>55.9</v>
      </c>
      <c r="H28" s="82" t="s">
        <v>73</v>
      </c>
      <c r="I28" s="28" t="n">
        <f aca="false">SUMIF($C$1:$C$187,H28,$E$1:$E$187)</f>
        <v>473</v>
      </c>
      <c r="J28" s="29" t="n">
        <f aca="false">IF(P28&lt;&gt;"", ROUNDUP(I28/P28,0), I28/1000)</f>
        <v>1</v>
      </c>
      <c r="K28" s="29" t="s">
        <v>19</v>
      </c>
      <c r="L28" s="28"/>
      <c r="M28" s="30" t="n">
        <f aca="false">J28-L28</f>
        <v>1</v>
      </c>
      <c r="N28" s="31" t="n">
        <v>7</v>
      </c>
      <c r="O28" s="45" t="n">
        <f aca="false">N28*M28</f>
        <v>7</v>
      </c>
      <c r="P28" s="51" t="n">
        <v>500</v>
      </c>
      <c r="Q28" s="65" t="s">
        <v>74</v>
      </c>
      <c r="R28" s="59"/>
      <c r="S28" s="59"/>
      <c r="T28" s="59"/>
      <c r="U28" s="59"/>
      <c r="V28" s="59"/>
      <c r="W28" s="0"/>
      <c r="X28" s="44" t="n">
        <v>14</v>
      </c>
      <c r="Y28" s="22" t="s">
        <v>62</v>
      </c>
      <c r="Z28" s="44"/>
      <c r="AA28" s="44"/>
    </row>
    <row r="29" customFormat="false" ht="12.75" hidden="false" customHeight="true" outlineLevel="0" collapsed="false">
      <c r="A29" s="73"/>
      <c r="B29" s="13"/>
      <c r="C29" s="60" t="s">
        <v>57</v>
      </c>
      <c r="D29" s="67" t="n">
        <v>2</v>
      </c>
      <c r="E29" s="26" t="n">
        <f aca="false">D29*$E$1</f>
        <v>86</v>
      </c>
      <c r="H29" s="27" t="s">
        <v>75</v>
      </c>
      <c r="I29" s="28" t="n">
        <f aca="false">SUMIF($C$1:$C$187,H29,$E$1:$E$187)</f>
        <v>860</v>
      </c>
      <c r="J29" s="29" t="n">
        <f aca="false">IF(P29&lt;&gt;"", ROUNDUP(I29/P29,0), I29/1000)</f>
        <v>3</v>
      </c>
      <c r="K29" s="29" t="s">
        <v>19</v>
      </c>
      <c r="L29" s="28"/>
      <c r="M29" s="30" t="n">
        <f aca="false">J29-L29</f>
        <v>3</v>
      </c>
      <c r="N29" s="31" t="n">
        <v>4</v>
      </c>
      <c r="O29" s="45" t="n">
        <f aca="false">N29*M29</f>
        <v>12</v>
      </c>
      <c r="P29" s="33" t="n">
        <v>340</v>
      </c>
      <c r="Q29" s="59"/>
      <c r="R29" s="59"/>
      <c r="S29" s="59"/>
      <c r="T29" s="59"/>
      <c r="U29" s="59"/>
      <c r="V29" s="59"/>
      <c r="W29" s="0"/>
      <c r="X29" s="47" t="n">
        <v>22</v>
      </c>
      <c r="Y29" s="22" t="s">
        <v>76</v>
      </c>
      <c r="Z29" s="47"/>
      <c r="AA29" s="66"/>
    </row>
    <row r="30" customFormat="false" ht="12.75" hidden="false" customHeight="true" outlineLevel="0" collapsed="false">
      <c r="A30" s="73"/>
      <c r="B30" s="13"/>
      <c r="C30" s="60" t="s">
        <v>38</v>
      </c>
      <c r="D30" s="67" t="n">
        <v>5</v>
      </c>
      <c r="E30" s="26" t="n">
        <f aca="false">D30*$E$1</f>
        <v>215</v>
      </c>
      <c r="H30" s="27" t="s">
        <v>63</v>
      </c>
      <c r="I30" s="28" t="n">
        <f aca="false">SUMIF($C$1:$C$187,H30,$E$1:$E$187)</f>
        <v>860</v>
      </c>
      <c r="J30" s="29" t="n">
        <f aca="false">IF(P30&lt;&gt;"", ROUNDUP(I30/P30,0), I30/1000)</f>
        <v>0.86</v>
      </c>
      <c r="K30" s="29" t="s">
        <v>15</v>
      </c>
      <c r="L30" s="28"/>
      <c r="M30" s="30" t="n">
        <f aca="false">J30-L30</f>
        <v>0.86</v>
      </c>
      <c r="N30" s="31" t="n">
        <v>16</v>
      </c>
      <c r="O30" s="45" t="n">
        <f aca="false">N30*M30</f>
        <v>13.76</v>
      </c>
      <c r="P30" s="33"/>
      <c r="Q30" s="63" t="s">
        <v>42</v>
      </c>
      <c r="R30" s="63" t="s">
        <v>42</v>
      </c>
      <c r="S30" s="59"/>
      <c r="T30" s="59"/>
      <c r="U30" s="59"/>
      <c r="V30" s="59"/>
      <c r="W30" s="0"/>
      <c r="X30" s="47" t="n">
        <v>3</v>
      </c>
      <c r="Y30" s="22" t="s">
        <v>76</v>
      </c>
      <c r="Z30" s="47"/>
      <c r="AA30" s="47"/>
    </row>
    <row r="31" customFormat="false" ht="12.75" hidden="false" customHeight="true" outlineLevel="0" collapsed="false">
      <c r="A31" s="73"/>
      <c r="B31" s="13"/>
      <c r="C31" s="77" t="s">
        <v>77</v>
      </c>
      <c r="D31" s="67" t="n">
        <v>10</v>
      </c>
      <c r="E31" s="26" t="n">
        <f aca="false">D31*$E$1</f>
        <v>430</v>
      </c>
      <c r="H31" s="27" t="s">
        <v>78</v>
      </c>
      <c r="I31" s="28" t="n">
        <f aca="false">SUMIF($C$1:$C$187,H31,$E$1:$E$187)</f>
        <v>0</v>
      </c>
      <c r="J31" s="29" t="n">
        <f aca="false">IF(P31&lt;&gt;"", ROUNDUP(I31/P31,0), I31/1000)</f>
        <v>0</v>
      </c>
      <c r="K31" s="29" t="s">
        <v>15</v>
      </c>
      <c r="L31" s="28"/>
      <c r="M31" s="30" t="n">
        <f aca="false">J31-L31</f>
        <v>0</v>
      </c>
      <c r="N31" s="31" t="n">
        <v>0</v>
      </c>
      <c r="O31" s="45" t="n">
        <f aca="false">N31*M31</f>
        <v>0</v>
      </c>
      <c r="P31" s="33"/>
      <c r="Q31" s="65" t="s">
        <v>79</v>
      </c>
      <c r="R31" s="0"/>
      <c r="S31" s="59"/>
      <c r="T31" s="59"/>
      <c r="U31" s="59"/>
      <c r="V31" s="59"/>
      <c r="W31" s="0"/>
      <c r="X31" s="43" t="n">
        <v>8</v>
      </c>
      <c r="Y31" s="22" t="s">
        <v>76</v>
      </c>
      <c r="Z31" s="56"/>
      <c r="AA31" s="43"/>
    </row>
    <row r="32" customFormat="false" ht="12.75" hidden="false" customHeight="true" outlineLevel="0" collapsed="false">
      <c r="A32" s="73"/>
      <c r="B32" s="13"/>
      <c r="C32" s="60" t="s">
        <v>26</v>
      </c>
      <c r="D32" s="67" t="n">
        <v>8</v>
      </c>
      <c r="E32" s="26" t="n">
        <f aca="false">D32*$E$1</f>
        <v>344</v>
      </c>
      <c r="H32" s="82" t="s">
        <v>80</v>
      </c>
      <c r="I32" s="28" t="n">
        <f aca="false">SUMIF($C$1:$C$187,H32,$E$1:$E$187)</f>
        <v>10320</v>
      </c>
      <c r="J32" s="29" t="n">
        <f aca="false">IF(P32&lt;&gt;"", ROUNDUP(I32/P32,0), I32/1000)</f>
        <v>10.32</v>
      </c>
      <c r="K32" s="29" t="s">
        <v>15</v>
      </c>
      <c r="L32" s="28"/>
      <c r="M32" s="30" t="n">
        <f aca="false">J32-L32</f>
        <v>10.32</v>
      </c>
      <c r="N32" s="31" t="n">
        <v>16</v>
      </c>
      <c r="O32" s="45" t="n">
        <f aca="false">N32*M32</f>
        <v>165.12</v>
      </c>
      <c r="P32" s="33"/>
      <c r="Q32" s="65" t="s">
        <v>48</v>
      </c>
      <c r="R32" s="0"/>
      <c r="S32" s="59"/>
      <c r="T32" s="59"/>
      <c r="U32" s="59"/>
      <c r="V32" s="59"/>
      <c r="W32" s="0"/>
      <c r="X32" s="53" t="n">
        <v>22</v>
      </c>
      <c r="Y32" s="22" t="s">
        <v>76</v>
      </c>
      <c r="Z32" s="53"/>
      <c r="AA32" s="53"/>
    </row>
    <row r="33" customFormat="false" ht="12.75" hidden="false" customHeight="true" outlineLevel="0" collapsed="false">
      <c r="A33" s="73"/>
      <c r="B33" s="13"/>
      <c r="C33" s="60" t="s">
        <v>81</v>
      </c>
      <c r="D33" s="67" t="n">
        <v>5</v>
      </c>
      <c r="E33" s="26" t="n">
        <f aca="false">D33*$E$1</f>
        <v>215</v>
      </c>
      <c r="H33" s="27" t="s">
        <v>82</v>
      </c>
      <c r="I33" s="28" t="n">
        <f aca="false">SUMIF($C$1:$C$187,H33,$E$1:$E$187)</f>
        <v>3440</v>
      </c>
      <c r="J33" s="29" t="n">
        <f aca="false">IF(P33&lt;&gt;"", ROUNDUP(I33/P33,0), I33/1000)</f>
        <v>8</v>
      </c>
      <c r="K33" s="29" t="s">
        <v>19</v>
      </c>
      <c r="L33" s="28"/>
      <c r="M33" s="30" t="n">
        <f aca="false">J33-L33</f>
        <v>8</v>
      </c>
      <c r="N33" s="31" t="n">
        <v>4</v>
      </c>
      <c r="O33" s="45" t="n">
        <f aca="false">N33*M33</f>
        <v>32</v>
      </c>
      <c r="P33" s="33" t="n">
        <v>430</v>
      </c>
      <c r="Q33" s="65" t="s">
        <v>83</v>
      </c>
      <c r="R33" s="59"/>
      <c r="S33" s="59"/>
      <c r="T33" s="59"/>
      <c r="U33" s="59"/>
      <c r="V33" s="59"/>
      <c r="W33" s="0"/>
      <c r="X33" s="43" t="n">
        <v>10</v>
      </c>
      <c r="Y33" s="22" t="s">
        <v>76</v>
      </c>
      <c r="Z33" s="56"/>
      <c r="AA33" s="56"/>
    </row>
    <row r="34" customFormat="false" ht="12.75" hidden="false" customHeight="true" outlineLevel="0" collapsed="false">
      <c r="A34" s="73"/>
      <c r="B34" s="13"/>
      <c r="C34" s="50" t="s">
        <v>56</v>
      </c>
      <c r="D34" s="50" t="n">
        <v>2.1</v>
      </c>
      <c r="E34" s="26" t="n">
        <f aca="false">D34*$E$1</f>
        <v>90.3</v>
      </c>
      <c r="H34" s="27" t="s">
        <v>84</v>
      </c>
      <c r="I34" s="28" t="n">
        <f aca="false">SUMIF($C$1:$C$187,H34,$E$1:$E$187)</f>
        <v>4300</v>
      </c>
      <c r="J34" s="29" t="n">
        <f aca="false">IF(P34&lt;&gt;"", ROUNDUP(I34/P34,0), I34/1000)</f>
        <v>15</v>
      </c>
      <c r="K34" s="29" t="s">
        <v>19</v>
      </c>
      <c r="L34" s="28"/>
      <c r="M34" s="30" t="n">
        <f aca="false">J34-L34</f>
        <v>15</v>
      </c>
      <c r="N34" s="31" t="n">
        <v>3</v>
      </c>
      <c r="O34" s="45" t="n">
        <f aca="false">N34*M34</f>
        <v>45</v>
      </c>
      <c r="P34" s="33" t="n">
        <v>300</v>
      </c>
      <c r="Q34" s="65" t="s">
        <v>50</v>
      </c>
      <c r="R34" s="59"/>
      <c r="S34" s="59"/>
      <c r="T34" s="59"/>
      <c r="U34" s="59"/>
      <c r="V34" s="59"/>
      <c r="W34" s="0"/>
      <c r="X34" s="53" t="n">
        <v>22</v>
      </c>
      <c r="Y34" s="22" t="s">
        <v>49</v>
      </c>
      <c r="Z34" s="53"/>
      <c r="AA34" s="54"/>
    </row>
    <row r="35" customFormat="false" ht="12.75" hidden="false" customHeight="true" outlineLevel="0" collapsed="false">
      <c r="A35" s="73"/>
      <c r="B35" s="13"/>
      <c r="C35" s="60"/>
      <c r="D35" s="67"/>
      <c r="E35" s="26"/>
      <c r="H35" s="27" t="s">
        <v>38</v>
      </c>
      <c r="I35" s="28" t="n">
        <f aca="false">SUMIF($C$1:$C$187,H35,$E$1:$E$187)</f>
        <v>903</v>
      </c>
      <c r="J35" s="29" t="n">
        <f aca="false">IF(P35&lt;&gt;"", ROUNDUP(I35/P35,0), I35/1000)</f>
        <v>1</v>
      </c>
      <c r="K35" s="29" t="s">
        <v>19</v>
      </c>
      <c r="L35" s="28"/>
      <c r="M35" s="30" t="n">
        <f aca="false">J35-L35</f>
        <v>1</v>
      </c>
      <c r="N35" s="31" t="n">
        <v>10</v>
      </c>
      <c r="O35" s="45" t="n">
        <f aca="false">N35*M35</f>
        <v>10</v>
      </c>
      <c r="P35" s="33" t="n">
        <v>1000</v>
      </c>
      <c r="Q35" s="59"/>
      <c r="R35" s="59"/>
      <c r="S35" s="59"/>
      <c r="T35" s="59"/>
      <c r="U35" s="59"/>
      <c r="V35" s="59"/>
      <c r="W35" s="0"/>
      <c r="X35" s="47" t="n">
        <v>10</v>
      </c>
      <c r="Y35" s="22" t="s">
        <v>49</v>
      </c>
      <c r="Z35" s="47"/>
      <c r="AA35" s="47"/>
    </row>
    <row r="36" customFormat="false" ht="12.75" hidden="false" customHeight="true" outlineLevel="0" collapsed="false">
      <c r="A36" s="73"/>
      <c r="B36" s="13"/>
      <c r="C36" s="60"/>
      <c r="D36" s="67"/>
      <c r="E36" s="83"/>
      <c r="H36" s="27" t="s">
        <v>85</v>
      </c>
      <c r="I36" s="28" t="n">
        <f aca="false">SUMIF($C$1:$C$187,H36,$E$1:$E$187)</f>
        <v>4300</v>
      </c>
      <c r="J36" s="29" t="n">
        <f aca="false">IF(P36&lt;&gt;"", ROUNDUP(I36/P36,0), I36/1000)</f>
        <v>10</v>
      </c>
      <c r="K36" s="29" t="s">
        <v>19</v>
      </c>
      <c r="L36" s="28"/>
      <c r="M36" s="30" t="n">
        <f aca="false">J36-L36</f>
        <v>10</v>
      </c>
      <c r="N36" s="31" t="n">
        <v>4</v>
      </c>
      <c r="O36" s="45" t="n">
        <f aca="false">N36*M36</f>
        <v>40</v>
      </c>
      <c r="P36" s="33" t="n">
        <v>450</v>
      </c>
      <c r="Q36" s="84" t="s">
        <v>86</v>
      </c>
      <c r="R36" s="84"/>
      <c r="S36" s="59"/>
      <c r="T36" s="59"/>
      <c r="U36" s="59"/>
      <c r="V36" s="59"/>
      <c r="W36" s="0"/>
      <c r="X36" s="43" t="n">
        <v>8</v>
      </c>
      <c r="Y36" s="22" t="s">
        <v>49</v>
      </c>
      <c r="Z36" s="56"/>
      <c r="AA36" s="43"/>
    </row>
    <row r="37" customFormat="false" ht="12.75" hidden="false" customHeight="true" outlineLevel="0" collapsed="false">
      <c r="A37" s="73"/>
      <c r="B37" s="13"/>
      <c r="C37" s="69"/>
      <c r="D37" s="70"/>
      <c r="E37" s="71"/>
      <c r="H37" s="27" t="s">
        <v>87</v>
      </c>
      <c r="I37" s="28" t="n">
        <f aca="false">SUMIF($C$1:$C$187,H37,$E$1:$E$187)</f>
        <v>0</v>
      </c>
      <c r="J37" s="29" t="n">
        <f aca="false">IF(P37&lt;&gt;"", ROUNDUP(I37/P37,0), I37/1000)</f>
        <v>0</v>
      </c>
      <c r="K37" s="29" t="s">
        <v>15</v>
      </c>
      <c r="L37" s="28"/>
      <c r="M37" s="30" t="n">
        <f aca="false">J37-L37</f>
        <v>0</v>
      </c>
      <c r="N37" s="31" t="n">
        <v>20</v>
      </c>
      <c r="O37" s="45" t="n">
        <f aca="false">N37*M37</f>
        <v>0</v>
      </c>
      <c r="P37" s="33"/>
      <c r="Q37" s="84" t="s">
        <v>53</v>
      </c>
      <c r="R37" s="84" t="s">
        <v>53</v>
      </c>
      <c r="S37" s="59"/>
      <c r="T37" s="59"/>
      <c r="U37" s="59"/>
      <c r="V37" s="59"/>
      <c r="W37" s="0"/>
      <c r="X37" s="53" t="n">
        <v>22</v>
      </c>
      <c r="Y37" s="22" t="s">
        <v>88</v>
      </c>
      <c r="Z37" s="53"/>
      <c r="AA37" s="53"/>
    </row>
    <row r="38" customFormat="false" ht="12.75" hidden="false" customHeight="true" outlineLevel="0" collapsed="false">
      <c r="A38" s="73"/>
      <c r="B38" s="85" t="s">
        <v>89</v>
      </c>
      <c r="C38" s="82" t="s">
        <v>80</v>
      </c>
      <c r="D38" s="86" t="n">
        <v>120</v>
      </c>
      <c r="E38" s="16" t="n">
        <f aca="false">D38*$E$1</f>
        <v>5160</v>
      </c>
      <c r="H38" s="78" t="s">
        <v>77</v>
      </c>
      <c r="I38" s="28" t="n">
        <f aca="false">SUMIF($C$1:$C$187,H38,$E$1:$E$187)</f>
        <v>1290</v>
      </c>
      <c r="J38" s="29" t="n">
        <f aca="false">IF(P38&lt;&gt;"", ROUNDUP(I38/P38,0), I38/1000)</f>
        <v>2</v>
      </c>
      <c r="K38" s="29" t="s">
        <v>19</v>
      </c>
      <c r="L38" s="28"/>
      <c r="M38" s="30" t="n">
        <f aca="false">J38-L38</f>
        <v>2</v>
      </c>
      <c r="N38" s="31" t="n">
        <v>3</v>
      </c>
      <c r="O38" s="45" t="n">
        <f aca="false">N38*M38</f>
        <v>6</v>
      </c>
      <c r="P38" s="33" t="n">
        <v>1000</v>
      </c>
      <c r="Q38" s="65" t="s">
        <v>82</v>
      </c>
      <c r="R38" s="59"/>
      <c r="S38" s="59"/>
      <c r="T38" s="59"/>
      <c r="U38" s="59"/>
      <c r="V38" s="59"/>
      <c r="W38" s="0"/>
      <c r="X38" s="43" t="n">
        <v>11</v>
      </c>
      <c r="Y38" s="22" t="s">
        <v>88</v>
      </c>
      <c r="Z38" s="56"/>
      <c r="AA38" s="56"/>
    </row>
    <row r="39" customFormat="false" ht="12.75" hidden="false" customHeight="true" outlineLevel="0" collapsed="false">
      <c r="A39" s="73"/>
      <c r="B39" s="85"/>
      <c r="C39" s="60" t="s">
        <v>90</v>
      </c>
      <c r="D39" s="67" t="n">
        <v>20</v>
      </c>
      <c r="E39" s="26" t="n">
        <f aca="false">D39*$E$1</f>
        <v>860</v>
      </c>
      <c r="H39" s="78" t="s">
        <v>91</v>
      </c>
      <c r="I39" s="28" t="n">
        <f aca="false">SUMIF($C$1:$C$187,H39,$E$1:$E$187)</f>
        <v>0</v>
      </c>
      <c r="J39" s="29" t="n">
        <f aca="false">IF(P39&lt;&gt;"", ROUNDUP(I39/P39,0), I39/1000)</f>
        <v>0</v>
      </c>
      <c r="K39" s="29" t="s">
        <v>15</v>
      </c>
      <c r="L39" s="28"/>
      <c r="M39" s="30" t="n">
        <f aca="false">J39-L39</f>
        <v>0</v>
      </c>
      <c r="N39" s="31" t="n">
        <v>0</v>
      </c>
      <c r="O39" s="45" t="n">
        <f aca="false">N39*M39</f>
        <v>0</v>
      </c>
      <c r="P39" s="33"/>
      <c r="Q39" s="65" t="s">
        <v>92</v>
      </c>
      <c r="R39" s="59"/>
      <c r="S39" s="59"/>
      <c r="T39" s="59"/>
      <c r="U39" s="59"/>
      <c r="V39" s="59"/>
      <c r="W39" s="0"/>
      <c r="X39" s="53" t="n">
        <v>22</v>
      </c>
      <c r="Y39" s="22" t="s">
        <v>93</v>
      </c>
      <c r="Z39" s="53"/>
      <c r="AA39" s="53"/>
    </row>
    <row r="40" customFormat="false" ht="12.75" hidden="false" customHeight="true" outlineLevel="0" collapsed="false">
      <c r="A40" s="73"/>
      <c r="B40" s="85"/>
      <c r="C40" s="60" t="s">
        <v>94</v>
      </c>
      <c r="D40" s="67" t="n">
        <v>30</v>
      </c>
      <c r="E40" s="26" t="n">
        <f aca="false">D40*$E$1</f>
        <v>1290</v>
      </c>
      <c r="H40" s="27" t="s">
        <v>44</v>
      </c>
      <c r="I40" s="28" t="n">
        <f aca="false">SUMIF($C$1:$C$187,H40,$E$1:$E$187)</f>
        <v>3010</v>
      </c>
      <c r="J40" s="29" t="n">
        <f aca="false">IF(P40&lt;&gt;"", ROUNDUP(I40/P40,0), I40/1000)</f>
        <v>17</v>
      </c>
      <c r="K40" s="29" t="s">
        <v>19</v>
      </c>
      <c r="L40" s="28"/>
      <c r="M40" s="30" t="n">
        <f aca="false">J40-L40</f>
        <v>17</v>
      </c>
      <c r="N40" s="31" t="n">
        <v>5</v>
      </c>
      <c r="O40" s="45" t="n">
        <f aca="false">N40*M40</f>
        <v>85</v>
      </c>
      <c r="P40" s="33" t="n">
        <v>180</v>
      </c>
      <c r="Q40" s="65" t="s">
        <v>50</v>
      </c>
      <c r="R40" s="59"/>
      <c r="S40" s="59"/>
      <c r="T40" s="59"/>
      <c r="U40" s="59"/>
      <c r="V40" s="59"/>
      <c r="W40" s="0"/>
      <c r="X40" s="43" t="n">
        <v>12</v>
      </c>
      <c r="Y40" s="22" t="s">
        <v>93</v>
      </c>
      <c r="Z40" s="56"/>
      <c r="AA40" s="56"/>
    </row>
    <row r="41" customFormat="false" ht="12.75" hidden="false" customHeight="true" outlineLevel="0" collapsed="false">
      <c r="A41" s="73"/>
      <c r="B41" s="85"/>
      <c r="C41" s="60" t="s">
        <v>33</v>
      </c>
      <c r="D41" s="67" t="n">
        <v>150</v>
      </c>
      <c r="E41" s="26" t="n">
        <f aca="false">D41*$E$1</f>
        <v>6450</v>
      </c>
      <c r="H41" s="78" t="s">
        <v>94</v>
      </c>
      <c r="I41" s="28" t="n">
        <f aca="false">SUMIF($C$1:$C$187,H41,$E$1:$E$187)</f>
        <v>5590</v>
      </c>
      <c r="J41" s="29" t="n">
        <f aca="false">IF(P41&lt;&gt;"", ROUNDUP(I41/P41,0), I41/1000)</f>
        <v>5.59</v>
      </c>
      <c r="K41" s="29" t="s">
        <v>15</v>
      </c>
      <c r="L41" s="28"/>
      <c r="M41" s="30" t="n">
        <f aca="false">J41-L41</f>
        <v>5.59</v>
      </c>
      <c r="N41" s="31" t="n">
        <v>2</v>
      </c>
      <c r="O41" s="45" t="n">
        <f aca="false">N41*M41</f>
        <v>11.18</v>
      </c>
      <c r="P41" s="33"/>
      <c r="Q41" s="59"/>
      <c r="R41" s="59"/>
      <c r="S41" s="59"/>
      <c r="T41" s="59"/>
      <c r="U41" s="59"/>
      <c r="V41" s="59"/>
      <c r="W41" s="0"/>
      <c r="X41" s="53" t="n">
        <v>15</v>
      </c>
      <c r="Y41" s="22" t="s">
        <v>93</v>
      </c>
      <c r="Z41" s="53"/>
      <c r="AA41" s="53"/>
    </row>
    <row r="42" customFormat="false" ht="12.75" hidden="false" customHeight="true" outlineLevel="0" collapsed="false">
      <c r="A42" s="73"/>
      <c r="B42" s="85"/>
      <c r="C42" s="60" t="s">
        <v>95</v>
      </c>
      <c r="D42" s="67" t="n">
        <v>30</v>
      </c>
      <c r="E42" s="26" t="n">
        <f aca="false">D42*$E$1</f>
        <v>1290</v>
      </c>
      <c r="H42" s="78" t="s">
        <v>96</v>
      </c>
      <c r="I42" s="28" t="n">
        <f aca="false">SUMIF($C$1:$C$187,H42,$E$1:$E$187)</f>
        <v>0</v>
      </c>
      <c r="J42" s="29" t="n">
        <f aca="false">IF(P42&lt;&gt;"", ROUNDUP(I42/P42,0), I42/1000)</f>
        <v>0</v>
      </c>
      <c r="K42" s="29" t="s">
        <v>15</v>
      </c>
      <c r="L42" s="28"/>
      <c r="M42" s="30" t="n">
        <f aca="false">J42-L42</f>
        <v>0</v>
      </c>
      <c r="N42" s="31" t="n">
        <v>0</v>
      </c>
      <c r="O42" s="45" t="n">
        <f aca="false">N42*M42</f>
        <v>0</v>
      </c>
      <c r="P42" s="33"/>
      <c r="Q42" s="63" t="s">
        <v>67</v>
      </c>
      <c r="R42" s="63" t="s">
        <v>67</v>
      </c>
      <c r="S42" s="59"/>
      <c r="T42" s="59"/>
      <c r="U42" s="59"/>
      <c r="V42" s="59"/>
      <c r="W42" s="0"/>
      <c r="X42" s="43" t="n">
        <v>9</v>
      </c>
      <c r="Y42" s="22" t="s">
        <v>93</v>
      </c>
      <c r="Z42" s="56"/>
      <c r="AA42" s="56"/>
    </row>
    <row r="43" customFormat="false" ht="12.75" hidden="false" customHeight="true" outlineLevel="0" collapsed="false">
      <c r="A43" s="73"/>
      <c r="B43" s="85"/>
      <c r="C43" s="27" t="s">
        <v>18</v>
      </c>
      <c r="D43" s="67" t="n">
        <v>10</v>
      </c>
      <c r="E43" s="26" t="n">
        <f aca="false">D43*$E$1</f>
        <v>430</v>
      </c>
      <c r="H43" s="27" t="s">
        <v>21</v>
      </c>
      <c r="I43" s="28" t="n">
        <f aca="false">SUMIF($C$1:$C$187,H43,$E$1:$E$187)</f>
        <v>3440</v>
      </c>
      <c r="J43" s="29" t="n">
        <f aca="false">IF(P43&lt;&gt;"", ROUNDUP(I43/P43,0), I43/1000)</f>
        <v>3.44</v>
      </c>
      <c r="K43" s="29" t="s">
        <v>15</v>
      </c>
      <c r="L43" s="28"/>
      <c r="M43" s="30" t="n">
        <f aca="false">J43-L43</f>
        <v>3.44</v>
      </c>
      <c r="N43" s="31" t="n">
        <v>8</v>
      </c>
      <c r="O43" s="45" t="n">
        <f aca="false">N43*M43</f>
        <v>27.52</v>
      </c>
      <c r="P43" s="33"/>
      <c r="Q43" s="65" t="s">
        <v>97</v>
      </c>
      <c r="R43" s="59"/>
      <c r="S43" s="59"/>
      <c r="T43" s="59"/>
      <c r="U43" s="59"/>
      <c r="V43" s="59"/>
      <c r="W43" s="0"/>
      <c r="X43" s="53" t="n">
        <v>22</v>
      </c>
      <c r="Y43" s="22" t="s">
        <v>93</v>
      </c>
      <c r="Z43" s="53"/>
      <c r="AA43" s="53"/>
    </row>
    <row r="44" customFormat="false" ht="12.75" hidden="false" customHeight="true" outlineLevel="0" collapsed="false">
      <c r="A44" s="73"/>
      <c r="B44" s="85"/>
      <c r="C44" s="62" t="s">
        <v>98</v>
      </c>
      <c r="D44" s="67" t="n">
        <v>14</v>
      </c>
      <c r="E44" s="26" t="n">
        <f aca="false">D44*$E$1</f>
        <v>602</v>
      </c>
      <c r="H44" s="27" t="s">
        <v>99</v>
      </c>
      <c r="I44" s="28" t="n">
        <f aca="false">SUMIF($C$1:$C$187,H44,$E$1:$E$187)</f>
        <v>2967</v>
      </c>
      <c r="J44" s="29" t="n">
        <f aca="false">IF(P44&lt;&gt;"", ROUNDUP(I44/P44,0), I44/1000)</f>
        <v>2.967</v>
      </c>
      <c r="K44" s="29" t="s">
        <v>15</v>
      </c>
      <c r="L44" s="28"/>
      <c r="M44" s="30" t="n">
        <f aca="false">J44-L44</f>
        <v>2.967</v>
      </c>
      <c r="N44" s="31" t="n">
        <v>7</v>
      </c>
      <c r="O44" s="45" t="n">
        <f aca="false">N44*M44</f>
        <v>20.769</v>
      </c>
      <c r="P44" s="33"/>
      <c r="Q44" s="65" t="s">
        <v>74</v>
      </c>
      <c r="R44" s="59"/>
      <c r="S44" s="59"/>
      <c r="T44" s="59"/>
      <c r="U44" s="59"/>
      <c r="V44" s="59"/>
      <c r="W44" s="0"/>
      <c r="X44" s="43"/>
      <c r="Y44" s="22"/>
      <c r="Z44" s="56"/>
      <c r="AA44" s="56"/>
    </row>
    <row r="45" customFormat="false" ht="12.75" hidden="false" customHeight="true" outlineLevel="0" collapsed="false">
      <c r="A45" s="73"/>
      <c r="B45" s="85"/>
      <c r="C45" s="87" t="s">
        <v>100</v>
      </c>
      <c r="D45" s="88" t="n">
        <v>5</v>
      </c>
      <c r="E45" s="80" t="n">
        <f aca="false">D45*$E$1</f>
        <v>215</v>
      </c>
      <c r="H45" s="27" t="s">
        <v>101</v>
      </c>
      <c r="I45" s="28" t="n">
        <f aca="false">SUMIF($C$1:$C$187,H45,$E$1:$E$187)</f>
        <v>1290</v>
      </c>
      <c r="J45" s="29" t="n">
        <f aca="false">IF(P45&lt;&gt;"", ROUNDUP(I45/P45,0), I45/1000)</f>
        <v>13</v>
      </c>
      <c r="K45" s="29" t="s">
        <v>19</v>
      </c>
      <c r="L45" s="28"/>
      <c r="M45" s="30" t="n">
        <f aca="false">J45-L45</f>
        <v>13</v>
      </c>
      <c r="N45" s="31" t="n">
        <v>2</v>
      </c>
      <c r="O45" s="45" t="n">
        <f aca="false">N45*M45</f>
        <v>26</v>
      </c>
      <c r="P45" s="33" t="n">
        <v>100</v>
      </c>
      <c r="Q45" s="65" t="s">
        <v>71</v>
      </c>
      <c r="R45" s="59"/>
      <c r="S45" s="59"/>
      <c r="T45" s="59"/>
      <c r="U45" s="59"/>
      <c r="V45" s="59"/>
      <c r="W45" s="0"/>
      <c r="X45" s="53" t="n">
        <v>22</v>
      </c>
      <c r="Y45" s="22" t="s">
        <v>102</v>
      </c>
      <c r="Z45" s="53"/>
      <c r="AA45" s="54"/>
    </row>
    <row r="46" customFormat="false" ht="12.75" hidden="false" customHeight="true" outlineLevel="0" collapsed="false">
      <c r="A46" s="73"/>
      <c r="B46" s="85"/>
      <c r="C46" s="52" t="s">
        <v>29</v>
      </c>
      <c r="D46" s="28" t="n">
        <v>40</v>
      </c>
      <c r="E46" s="26" t="n">
        <f aca="false">D46*$E$1</f>
        <v>1720</v>
      </c>
      <c r="H46" s="78" t="s">
        <v>103</v>
      </c>
      <c r="I46" s="28" t="n">
        <f aca="false">SUMIF($C$1:$C$187,H46,$E$1:$E$187)</f>
        <v>1720</v>
      </c>
      <c r="J46" s="29" t="n">
        <f aca="false">IF(P46&lt;&gt;"", ROUNDUP(I46/P46,0), I46/1000)</f>
        <v>1.72</v>
      </c>
      <c r="K46" s="29" t="s">
        <v>15</v>
      </c>
      <c r="L46" s="28"/>
      <c r="M46" s="30" t="n">
        <f aca="false">J46-L46</f>
        <v>1.72</v>
      </c>
      <c r="N46" s="31" t="n">
        <v>11</v>
      </c>
      <c r="O46" s="45" t="n">
        <f aca="false">N46*M46</f>
        <v>18.92</v>
      </c>
      <c r="P46" s="33"/>
      <c r="Q46" s="59"/>
      <c r="R46" s="59"/>
      <c r="S46" s="59"/>
      <c r="T46" s="59"/>
      <c r="U46" s="59"/>
      <c r="V46" s="59"/>
      <c r="W46" s="0"/>
      <c r="X46" s="47" t="n">
        <v>7</v>
      </c>
      <c r="Y46" s="22" t="s">
        <v>102</v>
      </c>
      <c r="Z46" s="47"/>
      <c r="AA46" s="47"/>
    </row>
    <row r="47" customFormat="false" ht="12.75" hidden="false" customHeight="true" outlineLevel="0" collapsed="false">
      <c r="A47" s="73"/>
      <c r="B47" s="85"/>
      <c r="C47" s="89" t="s">
        <v>30</v>
      </c>
      <c r="D47" s="28" t="n">
        <v>30</v>
      </c>
      <c r="E47" s="26" t="n">
        <f aca="false">D47*$E$1</f>
        <v>1290</v>
      </c>
      <c r="H47" s="27" t="s">
        <v>104</v>
      </c>
      <c r="I47" s="28" t="n">
        <f aca="false">SUMIF($C$1:$C$187,H47,$E$1:$E$187)</f>
        <v>2967</v>
      </c>
      <c r="J47" s="29" t="n">
        <f aca="false">IF(P47&lt;&gt;"", ROUNDUP(I47/P47,0), I47/1000)</f>
        <v>2.967</v>
      </c>
      <c r="K47" s="29" t="s">
        <v>15</v>
      </c>
      <c r="L47" s="28"/>
      <c r="M47" s="30" t="n">
        <f aca="false">J47-L47</f>
        <v>2.967</v>
      </c>
      <c r="N47" s="31" t="n">
        <v>10</v>
      </c>
      <c r="O47" s="45" t="n">
        <f aca="false">N47*M47</f>
        <v>29.67</v>
      </c>
      <c r="P47" s="33"/>
      <c r="Q47" s="63" t="s">
        <v>42</v>
      </c>
      <c r="R47" s="63" t="s">
        <v>42</v>
      </c>
      <c r="S47" s="59"/>
      <c r="T47" s="59"/>
      <c r="U47" s="59"/>
      <c r="V47" s="59"/>
      <c r="W47" s="0"/>
      <c r="X47" s="43" t="n">
        <v>5</v>
      </c>
      <c r="Y47" s="22" t="s">
        <v>102</v>
      </c>
      <c r="Z47" s="56"/>
      <c r="AA47" s="43"/>
    </row>
    <row r="48" customFormat="false" ht="12.75" hidden="false" customHeight="true" outlineLevel="0" collapsed="false">
      <c r="A48" s="73"/>
      <c r="B48" s="85"/>
      <c r="C48" s="52" t="s">
        <v>65</v>
      </c>
      <c r="D48" s="28" t="n">
        <v>30</v>
      </c>
      <c r="E48" s="26" t="n">
        <f aca="false">D48*$E$1</f>
        <v>1290</v>
      </c>
      <c r="H48" s="27" t="s">
        <v>40</v>
      </c>
      <c r="I48" s="28" t="n">
        <f aca="false">SUMIF($C$1:$C$187,H48,$E$1:$E$187)</f>
        <v>7740</v>
      </c>
      <c r="J48" s="29" t="n">
        <f aca="false">IF(P48&lt;&gt;"", ROUNDUP(I48/P48,0), I48/1000)</f>
        <v>7.74</v>
      </c>
      <c r="K48" s="29" t="s">
        <v>15</v>
      </c>
      <c r="L48" s="28"/>
      <c r="M48" s="30" t="n">
        <f aca="false">J48-L48</f>
        <v>7.74</v>
      </c>
      <c r="N48" s="31" t="n">
        <v>10</v>
      </c>
      <c r="O48" s="45" t="n">
        <f aca="false">N48*M48</f>
        <v>77.4</v>
      </c>
      <c r="P48" s="33"/>
      <c r="Q48" s="65" t="s">
        <v>105</v>
      </c>
      <c r="R48" s="59"/>
      <c r="S48" s="59"/>
      <c r="T48" s="59"/>
      <c r="U48" s="59"/>
      <c r="V48" s="59"/>
      <c r="W48" s="0"/>
      <c r="X48" s="53" t="n">
        <v>22</v>
      </c>
      <c r="Y48" s="22" t="s">
        <v>102</v>
      </c>
      <c r="Z48" s="53"/>
      <c r="AA48" s="53"/>
    </row>
    <row r="49" customFormat="false" ht="12.75" hidden="false" customHeight="true" outlineLevel="0" collapsed="false">
      <c r="A49" s="73"/>
      <c r="B49" s="85"/>
      <c r="C49" s="60" t="s">
        <v>106</v>
      </c>
      <c r="D49" s="28" t="n">
        <v>15</v>
      </c>
      <c r="E49" s="26" t="n">
        <f aca="false">D49*$E$1</f>
        <v>645</v>
      </c>
      <c r="H49" s="27" t="s">
        <v>107</v>
      </c>
      <c r="I49" s="28" t="n">
        <f aca="false">SUMIF($C$1:$C$187,H49,$E$1:$E$187)</f>
        <v>0</v>
      </c>
      <c r="J49" s="29" t="n">
        <f aca="false">IF(P49&lt;&gt;"", ROUNDUP(I49/P49,0), I49/1000)</f>
        <v>0</v>
      </c>
      <c r="K49" s="29" t="s">
        <v>15</v>
      </c>
      <c r="L49" s="28"/>
      <c r="M49" s="30" t="n">
        <f aca="false">J49-L49</f>
        <v>0</v>
      </c>
      <c r="N49" s="31" t="n">
        <v>0</v>
      </c>
      <c r="O49" s="45" t="n">
        <f aca="false">N49*M49</f>
        <v>0</v>
      </c>
      <c r="P49" s="33"/>
      <c r="Q49" s="65" t="s">
        <v>48</v>
      </c>
      <c r="R49" s="59"/>
      <c r="S49" s="59"/>
      <c r="T49" s="59"/>
      <c r="U49" s="59"/>
      <c r="V49" s="59"/>
      <c r="W49" s="0"/>
      <c r="X49" s="34" t="n">
        <v>9</v>
      </c>
      <c r="Y49" s="22" t="s">
        <v>102</v>
      </c>
      <c r="Z49" s="47"/>
      <c r="AA49" s="47"/>
    </row>
    <row r="50" customFormat="false" ht="12.75" hidden="false" customHeight="true" outlineLevel="0" collapsed="false">
      <c r="A50" s="73"/>
      <c r="B50" s="85"/>
      <c r="C50" s="89" t="s">
        <v>108</v>
      </c>
      <c r="D50" s="28" t="n">
        <v>20</v>
      </c>
      <c r="E50" s="26" t="n">
        <f aca="false">D50*$E$1</f>
        <v>860</v>
      </c>
      <c r="H50" s="90" t="s">
        <v>109</v>
      </c>
      <c r="I50" s="28" t="n">
        <f aca="false">SUMIF($C$1:$C$187,H50,$E$1:$E$187)</f>
        <v>3225</v>
      </c>
      <c r="J50" s="29" t="n">
        <f aca="false">IF(P50&lt;&gt;"", ROUNDUP(I50/P50,0), I50/1000)</f>
        <v>5</v>
      </c>
      <c r="K50" s="29" t="s">
        <v>19</v>
      </c>
      <c r="L50" s="28"/>
      <c r="M50" s="30" t="n">
        <f aca="false">J50-L50</f>
        <v>5</v>
      </c>
      <c r="N50" s="31" t="n">
        <v>2</v>
      </c>
      <c r="O50" s="45" t="n">
        <f aca="false">N50*M50</f>
        <v>10</v>
      </c>
      <c r="P50" s="33" t="n">
        <v>700</v>
      </c>
      <c r="Q50" s="65" t="s">
        <v>50</v>
      </c>
      <c r="R50" s="59"/>
      <c r="S50" s="59"/>
      <c r="T50" s="59"/>
      <c r="U50" s="59"/>
      <c r="V50" s="59"/>
      <c r="W50" s="0"/>
      <c r="X50" s="91"/>
      <c r="Y50" s="91"/>
      <c r="Z50" s="91"/>
      <c r="AA50" s="91"/>
    </row>
    <row r="51" customFormat="false" ht="12.75" hidden="false" customHeight="true" outlineLevel="0" collapsed="false">
      <c r="A51" s="73"/>
      <c r="B51" s="85"/>
      <c r="C51" s="52" t="s">
        <v>101</v>
      </c>
      <c r="D51" s="50" t="n">
        <v>10</v>
      </c>
      <c r="E51" s="26" t="n">
        <f aca="false">D51*$E$1</f>
        <v>430</v>
      </c>
      <c r="H51" s="27" t="s">
        <v>100</v>
      </c>
      <c r="I51" s="28" t="n">
        <f aca="false">SUMIF($C$1:$C$187,H51,$E$1:$E$187)</f>
        <v>215</v>
      </c>
      <c r="J51" s="29" t="n">
        <f aca="false">IF(P51&lt;&gt;"", ROUNDUP(I51/P51,0), I51/1000)</f>
        <v>0.215</v>
      </c>
      <c r="K51" s="29" t="s">
        <v>15</v>
      </c>
      <c r="L51" s="28"/>
      <c r="M51" s="30" t="n">
        <f aca="false">J51-L51</f>
        <v>0.215</v>
      </c>
      <c r="N51" s="31" t="n">
        <v>5</v>
      </c>
      <c r="O51" s="45" t="n">
        <f aca="false">N51*M51</f>
        <v>1.075</v>
      </c>
      <c r="P51" s="33"/>
      <c r="Q51" s="59"/>
      <c r="R51" s="59"/>
      <c r="S51" s="59"/>
      <c r="T51" s="59"/>
      <c r="U51" s="59"/>
      <c r="V51" s="59"/>
      <c r="W51" s="11"/>
      <c r="X51" s="11"/>
      <c r="Y51" s="11"/>
      <c r="Z51" s="47"/>
      <c r="AA51" s="66"/>
    </row>
    <row r="52" customFormat="false" ht="12.75" hidden="false" customHeight="true" outlineLevel="0" collapsed="false">
      <c r="A52" s="73"/>
      <c r="B52" s="85"/>
      <c r="C52" s="60" t="s">
        <v>110</v>
      </c>
      <c r="D52" s="67" t="n">
        <v>30</v>
      </c>
      <c r="E52" s="26" t="n">
        <f aca="false">D52*$E$1</f>
        <v>1290</v>
      </c>
      <c r="H52" s="48" t="s">
        <v>59</v>
      </c>
      <c r="I52" s="39" t="n">
        <f aca="false">SUMIF($C$1:$C$187,H52,$E$1:$E$187)</f>
        <v>1290</v>
      </c>
      <c r="J52" s="29" t="n">
        <f aca="false">IF(P52&lt;&gt;"", ROUNDUP(I52/P52,0), I52/1000)</f>
        <v>1.29</v>
      </c>
      <c r="K52" s="29" t="s">
        <v>15</v>
      </c>
      <c r="L52" s="39"/>
      <c r="M52" s="30" t="n">
        <f aca="false">J52-L52</f>
        <v>1.29</v>
      </c>
      <c r="N52" s="31" t="n">
        <v>16</v>
      </c>
      <c r="O52" s="45" t="n">
        <f aca="false">N52*M52</f>
        <v>20.64</v>
      </c>
      <c r="P52" s="33"/>
      <c r="Q52" s="61" t="s">
        <v>111</v>
      </c>
      <c r="R52" s="59"/>
      <c r="S52" s="59"/>
      <c r="T52" s="59"/>
      <c r="U52" s="59"/>
      <c r="V52" s="59"/>
      <c r="W52" s="11"/>
      <c r="X52" s="11"/>
      <c r="Y52" s="11"/>
      <c r="Z52" s="56"/>
      <c r="AA52" s="57"/>
    </row>
    <row r="53" customFormat="false" ht="12.75" hidden="false" customHeight="true" outlineLevel="0" collapsed="false">
      <c r="A53" s="73"/>
      <c r="B53" s="85"/>
      <c r="C53" s="36" t="s">
        <v>112</v>
      </c>
      <c r="D53" s="50" t="n">
        <v>30</v>
      </c>
      <c r="E53" s="26" t="n">
        <f aca="false">D53*$E$1</f>
        <v>1290</v>
      </c>
      <c r="H53" s="27" t="s">
        <v>113</v>
      </c>
      <c r="I53" s="28" t="n">
        <f aca="false">SUMIF($C$1:$C$187,H53,$E$1:$E$187)</f>
        <v>3440</v>
      </c>
      <c r="J53" s="29" t="n">
        <f aca="false">IF(P53&lt;&gt;"", ROUNDUP(I53/P53,0), I53/1000)</f>
        <v>5</v>
      </c>
      <c r="K53" s="29" t="s">
        <v>19</v>
      </c>
      <c r="L53" s="28"/>
      <c r="M53" s="30" t="n">
        <f aca="false">J53-L53</f>
        <v>5</v>
      </c>
      <c r="N53" s="31" t="n">
        <v>3</v>
      </c>
      <c r="O53" s="45" t="n">
        <f aca="false">N53*M53</f>
        <v>15</v>
      </c>
      <c r="P53" s="33" t="n">
        <v>700</v>
      </c>
      <c r="Q53" s="63" t="s">
        <v>53</v>
      </c>
      <c r="R53" s="63" t="s">
        <v>53</v>
      </c>
      <c r="S53" s="59"/>
      <c r="T53" s="59"/>
      <c r="U53" s="59"/>
      <c r="V53" s="59"/>
      <c r="W53" s="11"/>
      <c r="X53" s="11"/>
      <c r="Y53" s="11"/>
      <c r="Z53" s="91"/>
      <c r="AA53" s="92"/>
    </row>
    <row r="54" customFormat="false" ht="12.75" hidden="false" customHeight="true" outlineLevel="0" collapsed="false">
      <c r="A54" s="73"/>
      <c r="B54" s="85"/>
      <c r="C54" s="27" t="s">
        <v>114</v>
      </c>
      <c r="D54" s="67" t="n">
        <v>100</v>
      </c>
      <c r="E54" s="26" t="n">
        <f aca="false">D54*$E$1</f>
        <v>4300</v>
      </c>
      <c r="H54" s="27" t="s">
        <v>106</v>
      </c>
      <c r="I54" s="28" t="n">
        <f aca="false">SUMIF($C$1:$C$187,H54,$E$1:$E$187)</f>
        <v>1505</v>
      </c>
      <c r="J54" s="29" t="n">
        <f aca="false">IF(P54&lt;&gt;"", ROUNDUP(I54/P54,0), I54/1000)</f>
        <v>1.505</v>
      </c>
      <c r="K54" s="29" t="s">
        <v>15</v>
      </c>
      <c r="L54" s="28"/>
      <c r="M54" s="30" t="n">
        <f aca="false">J54-L54</f>
        <v>1.505</v>
      </c>
      <c r="N54" s="31" t="n">
        <v>25</v>
      </c>
      <c r="O54" s="45" t="n">
        <f aca="false">N54*M54</f>
        <v>37.625</v>
      </c>
      <c r="P54" s="33"/>
      <c r="Q54" s="65" t="s">
        <v>109</v>
      </c>
      <c r="R54" s="59"/>
      <c r="S54" s="59"/>
      <c r="T54" s="59"/>
      <c r="U54" s="59"/>
      <c r="V54" s="59"/>
      <c r="W54" s="1" t="s">
        <v>115</v>
      </c>
    </row>
    <row r="55" customFormat="false" ht="12.75" hidden="false" customHeight="true" outlineLevel="0" collapsed="false">
      <c r="A55" s="73"/>
      <c r="B55" s="85"/>
      <c r="C55" s="60"/>
      <c r="D55" s="67"/>
      <c r="E55" s="26"/>
      <c r="H55" s="27" t="s">
        <v>66</v>
      </c>
      <c r="I55" s="28" t="n">
        <f aca="false">SUMIF($C$1:$C$187,H55,$E$1:$E$187)</f>
        <v>602</v>
      </c>
      <c r="J55" s="29" t="n">
        <f aca="false">IF(P55&lt;&gt;"", ROUNDUP(I55/P55,0), I55/1000)</f>
        <v>3</v>
      </c>
      <c r="K55" s="29" t="s">
        <v>19</v>
      </c>
      <c r="L55" s="28"/>
      <c r="M55" s="30" t="n">
        <f aca="false">J55-L55</f>
        <v>3</v>
      </c>
      <c r="N55" s="31" t="n">
        <v>5</v>
      </c>
      <c r="O55" s="45" t="n">
        <f aca="false">N55*M55</f>
        <v>15</v>
      </c>
      <c r="P55" s="33" t="n">
        <v>250</v>
      </c>
      <c r="Q55" s="65" t="s">
        <v>116</v>
      </c>
      <c r="R55" s="59"/>
      <c r="S55" s="59"/>
      <c r="T55" s="59"/>
      <c r="U55" s="59"/>
      <c r="V55" s="59"/>
    </row>
    <row r="56" customFormat="false" ht="12.75" hidden="false" customHeight="true" outlineLevel="0" collapsed="false">
      <c r="A56" s="73"/>
      <c r="B56" s="85"/>
      <c r="C56" s="62"/>
      <c r="D56" s="28"/>
      <c r="E56" s="26"/>
      <c r="H56" s="78" t="s">
        <v>95</v>
      </c>
      <c r="I56" s="28" t="n">
        <f aca="false">SUMIF($C$1:$C$187,H56,$E$1:$E$187)</f>
        <v>1290</v>
      </c>
      <c r="J56" s="29" t="n">
        <f aca="false">IF(P56&lt;&gt;"", ROUNDUP(I56/P56,0), I56/1000)</f>
        <v>3</v>
      </c>
      <c r="K56" s="29" t="s">
        <v>19</v>
      </c>
      <c r="L56" s="28"/>
      <c r="M56" s="30" t="n">
        <f aca="false">J56-L56</f>
        <v>3</v>
      </c>
      <c r="N56" s="31" t="n">
        <v>7</v>
      </c>
      <c r="O56" s="45" t="n">
        <f aca="false">N56*M56</f>
        <v>21</v>
      </c>
      <c r="P56" s="51" t="n">
        <v>500</v>
      </c>
      <c r="Q56" s="65" t="s">
        <v>61</v>
      </c>
      <c r="R56" s="59"/>
      <c r="S56" s="59"/>
      <c r="T56" s="59"/>
      <c r="U56" s="59"/>
      <c r="V56" s="59"/>
    </row>
    <row r="57" customFormat="false" ht="12.75" hidden="false" customHeight="true" outlineLevel="0" collapsed="false">
      <c r="A57" s="73"/>
      <c r="B57" s="85"/>
      <c r="C57" s="60"/>
      <c r="D57" s="67"/>
      <c r="E57" s="83"/>
      <c r="H57" s="27" t="s">
        <v>98</v>
      </c>
      <c r="I57" s="28" t="n">
        <f aca="false">SUMIF($C$1:$C$187,H57,$E$1:$E$187)</f>
        <v>602</v>
      </c>
      <c r="J57" s="29" t="n">
        <f aca="false">IF(P57&lt;&gt;"", ROUNDUP(I57/P57,0), I57/1000)</f>
        <v>3</v>
      </c>
      <c r="K57" s="29" t="s">
        <v>19</v>
      </c>
      <c r="L57" s="28"/>
      <c r="M57" s="30" t="n">
        <f aca="false">J57-L57</f>
        <v>3</v>
      </c>
      <c r="N57" s="31" t="n">
        <v>6</v>
      </c>
      <c r="O57" s="45" t="n">
        <f aca="false">N57*M57</f>
        <v>18</v>
      </c>
      <c r="P57" s="33" t="n">
        <v>250</v>
      </c>
      <c r="Q57" s="65" t="s">
        <v>50</v>
      </c>
      <c r="R57" s="59"/>
      <c r="S57" s="59"/>
      <c r="T57" s="59"/>
      <c r="U57" s="59"/>
      <c r="V57" s="59"/>
    </row>
    <row r="58" customFormat="false" ht="12.75" hidden="false" customHeight="true" outlineLevel="0" collapsed="false">
      <c r="A58" s="73"/>
      <c r="B58" s="85"/>
      <c r="C58" s="93"/>
      <c r="D58" s="5"/>
      <c r="E58" s="94"/>
      <c r="H58" s="27" t="s">
        <v>25</v>
      </c>
      <c r="I58" s="28" t="n">
        <f aca="false">SUMIF($C$1:$C$187,H58,$E$1:$E$187)</f>
        <v>1075</v>
      </c>
      <c r="J58" s="29" t="n">
        <f aca="false">IF(P58&lt;&gt;"", ROUNDUP(I58/P58,0), I58/1000)</f>
        <v>3</v>
      </c>
      <c r="K58" s="29" t="s">
        <v>19</v>
      </c>
      <c r="L58" s="28"/>
      <c r="M58" s="30" t="n">
        <f aca="false">J58-L58</f>
        <v>3</v>
      </c>
      <c r="N58" s="31" t="n">
        <v>4.5</v>
      </c>
      <c r="O58" s="45" t="n">
        <f aca="false">N58*M58</f>
        <v>13.5</v>
      </c>
      <c r="P58" s="33" t="n">
        <v>400</v>
      </c>
      <c r="Q58" s="59"/>
      <c r="R58" s="59"/>
      <c r="S58" s="59"/>
      <c r="T58" s="59"/>
      <c r="U58" s="59"/>
      <c r="V58" s="59"/>
    </row>
    <row r="59" customFormat="false" ht="12.75" hidden="false" customHeight="true" outlineLevel="0" collapsed="false">
      <c r="A59" s="73"/>
      <c r="B59" s="85" t="s">
        <v>3</v>
      </c>
      <c r="C59" s="74" t="s">
        <v>113</v>
      </c>
      <c r="D59" s="95" t="n">
        <v>80</v>
      </c>
      <c r="E59" s="16" t="n">
        <f aca="false">D59*$E$1</f>
        <v>3440</v>
      </c>
      <c r="H59" s="27" t="s">
        <v>117</v>
      </c>
      <c r="I59" s="28" t="n">
        <f aca="false">SUMIF($C$1:$C$187,H59,$E$1:$E$187)</f>
        <v>860</v>
      </c>
      <c r="J59" s="29" t="n">
        <f aca="false">IF(P59&lt;&gt;"", ROUNDUP(I59/P59,0), I59/1000)</f>
        <v>1</v>
      </c>
      <c r="K59" s="29" t="s">
        <v>19</v>
      </c>
      <c r="L59" s="28"/>
      <c r="M59" s="30" t="n">
        <f aca="false">J59-L59</f>
        <v>1</v>
      </c>
      <c r="N59" s="31" t="n">
        <v>7</v>
      </c>
      <c r="O59" s="45" t="n">
        <f aca="false">N59*M59</f>
        <v>7</v>
      </c>
      <c r="P59" s="33" t="n">
        <v>1000</v>
      </c>
      <c r="Q59" s="63" t="s">
        <v>67</v>
      </c>
      <c r="R59" s="63" t="s">
        <v>67</v>
      </c>
      <c r="S59" s="59"/>
      <c r="T59" s="59"/>
      <c r="U59" s="59"/>
      <c r="V59" s="59"/>
    </row>
    <row r="60" customFormat="false" ht="12.75" hidden="false" customHeight="true" outlineLevel="0" collapsed="false">
      <c r="A60" s="73"/>
      <c r="B60" s="85"/>
      <c r="C60" s="49" t="s">
        <v>80</v>
      </c>
      <c r="D60" s="50" t="n">
        <v>120</v>
      </c>
      <c r="E60" s="26" t="n">
        <f aca="false">D60*$E$1</f>
        <v>5160</v>
      </c>
      <c r="H60" s="67" t="s">
        <v>118</v>
      </c>
      <c r="I60" s="28" t="n">
        <f aca="false">SUMIF($C$1:$C$187,H60,$E$1:$E$187)</f>
        <v>215</v>
      </c>
      <c r="J60" s="29" t="n">
        <f aca="false">IF(P60&lt;&gt;"", ROUNDUP(I60/P60,0), I60/1000)</f>
        <v>0.215</v>
      </c>
      <c r="K60" s="29" t="s">
        <v>15</v>
      </c>
      <c r="L60" s="28"/>
      <c r="M60" s="30" t="n">
        <f aca="false">J60-L60</f>
        <v>0.215</v>
      </c>
      <c r="N60" s="31" t="n">
        <v>7</v>
      </c>
      <c r="O60" s="45" t="n">
        <f aca="false">N60*M60</f>
        <v>1.505</v>
      </c>
      <c r="P60" s="96"/>
      <c r="Q60" s="65" t="s">
        <v>119</v>
      </c>
      <c r="R60" s="59"/>
      <c r="S60" s="59"/>
      <c r="T60" s="59"/>
      <c r="U60" s="59"/>
      <c r="V60" s="59"/>
    </row>
    <row r="61" customFormat="false" ht="12.75" hidden="false" customHeight="true" outlineLevel="0" collapsed="false">
      <c r="A61" s="73"/>
      <c r="B61" s="85"/>
      <c r="C61" s="60" t="s">
        <v>94</v>
      </c>
      <c r="D61" s="50" t="n">
        <v>40</v>
      </c>
      <c r="E61" s="26" t="n">
        <f aca="false">D61*$E$1</f>
        <v>1720</v>
      </c>
      <c r="H61" s="90" t="s">
        <v>112</v>
      </c>
      <c r="I61" s="28" t="n">
        <f aca="false">SUMIF($C$1:$C$187,H61,$E$1:$E$187)</f>
        <v>2580</v>
      </c>
      <c r="J61" s="29" t="n">
        <f aca="false">IF(P61&lt;&gt;"", ROUNDUP(I61/P61,0), I61/1000)</f>
        <v>11</v>
      </c>
      <c r="K61" s="29" t="s">
        <v>19</v>
      </c>
      <c r="L61" s="28"/>
      <c r="M61" s="30" t="n">
        <f aca="false">J61-L61</f>
        <v>11</v>
      </c>
      <c r="N61" s="31" t="n">
        <v>3</v>
      </c>
      <c r="O61" s="45" t="n">
        <f aca="false">N61*M61</f>
        <v>33</v>
      </c>
      <c r="P61" s="33" t="n">
        <v>250</v>
      </c>
      <c r="Q61" s="65" t="s">
        <v>48</v>
      </c>
      <c r="R61" s="59"/>
      <c r="S61" s="59"/>
      <c r="T61" s="59"/>
      <c r="U61" s="59"/>
      <c r="V61" s="59"/>
    </row>
    <row r="62" customFormat="false" ht="12.75" hidden="false" customHeight="true" outlineLevel="0" collapsed="false">
      <c r="A62" s="73"/>
      <c r="B62" s="85"/>
      <c r="C62" s="60" t="s">
        <v>90</v>
      </c>
      <c r="D62" s="50" t="n">
        <v>20</v>
      </c>
      <c r="E62" s="26" t="n">
        <f aca="false">D62*$E$1</f>
        <v>860</v>
      </c>
      <c r="H62" s="90" t="s">
        <v>120</v>
      </c>
      <c r="I62" s="28" t="n">
        <f aca="false">SUMIF($C$1:$C$187,H62,$E$1:$E$187)</f>
        <v>0</v>
      </c>
      <c r="J62" s="29" t="n">
        <f aca="false">IF(P62&lt;&gt;"", ROUNDUP(I62/P62,0), I62/1000)</f>
        <v>0</v>
      </c>
      <c r="K62" s="29" t="s">
        <v>15</v>
      </c>
      <c r="L62" s="28"/>
      <c r="M62" s="30" t="n">
        <f aca="false">J62-L62</f>
        <v>0</v>
      </c>
      <c r="N62" s="31" t="n">
        <v>0</v>
      </c>
      <c r="O62" s="45" t="n">
        <f aca="false">N62*M62</f>
        <v>0</v>
      </c>
      <c r="P62" s="33"/>
      <c r="Q62" s="65" t="s">
        <v>71</v>
      </c>
      <c r="R62" s="59"/>
      <c r="S62" s="59"/>
      <c r="T62" s="59"/>
      <c r="U62" s="59"/>
      <c r="V62" s="59"/>
    </row>
    <row r="63" customFormat="false" ht="12.75" hidden="false" customHeight="true" outlineLevel="0" collapsed="false">
      <c r="A63" s="73"/>
      <c r="B63" s="85"/>
      <c r="C63" s="27" t="s">
        <v>18</v>
      </c>
      <c r="D63" s="50" t="n">
        <v>15</v>
      </c>
      <c r="E63" s="26" t="n">
        <f aca="false">D63*$E$1</f>
        <v>645</v>
      </c>
      <c r="H63" s="27" t="s">
        <v>110</v>
      </c>
      <c r="I63" s="28" t="n">
        <f aca="false">SUMIF($C$1:$C$187,H63,$E$1:$E$187)</f>
        <v>3655</v>
      </c>
      <c r="J63" s="29" t="n">
        <f aca="false">IF(P63&lt;&gt;"", ROUNDUP(I63/P63,0), I63/1000)</f>
        <v>8</v>
      </c>
      <c r="K63" s="29" t="s">
        <v>19</v>
      </c>
      <c r="L63" s="28"/>
      <c r="M63" s="30" t="n">
        <f aca="false">J63-L63</f>
        <v>8</v>
      </c>
      <c r="N63" s="31" t="n">
        <v>4</v>
      </c>
      <c r="O63" s="45" t="n">
        <f aca="false">N63*M63</f>
        <v>32</v>
      </c>
      <c r="P63" s="51" t="n">
        <v>500</v>
      </c>
      <c r="Q63" s="59"/>
      <c r="R63" s="59"/>
      <c r="S63" s="59"/>
      <c r="T63" s="59"/>
      <c r="U63" s="59"/>
      <c r="V63" s="59"/>
    </row>
    <row r="64" customFormat="false" ht="12.75" hidden="false" customHeight="true" outlineLevel="0" collapsed="false">
      <c r="A64" s="73"/>
      <c r="B64" s="85"/>
      <c r="C64" s="62" t="s">
        <v>16</v>
      </c>
      <c r="D64" s="28" t="n">
        <v>69</v>
      </c>
      <c r="E64" s="26" t="n">
        <f aca="false">D64*$E$1</f>
        <v>2967</v>
      </c>
      <c r="H64" s="27" t="s">
        <v>108</v>
      </c>
      <c r="I64" s="28" t="n">
        <f aca="false">SUMIF($C$1:$C$187,H64,$E$1:$E$187)</f>
        <v>6450</v>
      </c>
      <c r="J64" s="29" t="n">
        <f aca="false">IF(P64&lt;&gt;"", ROUNDUP(I64/P64,0), I64/1000)</f>
        <v>6.45</v>
      </c>
      <c r="K64" s="29" t="s">
        <v>15</v>
      </c>
      <c r="L64" s="28"/>
      <c r="M64" s="30" t="n">
        <f aca="false">J64-L64</f>
        <v>6.45</v>
      </c>
      <c r="N64" s="31" t="n">
        <v>20</v>
      </c>
      <c r="O64" s="45" t="n">
        <f aca="false">N64*M64</f>
        <v>129</v>
      </c>
      <c r="P64" s="33"/>
      <c r="Q64" s="59"/>
      <c r="R64" s="59"/>
      <c r="S64" s="59"/>
      <c r="T64" s="59"/>
      <c r="U64" s="59"/>
      <c r="V64" s="59"/>
    </row>
    <row r="65" customFormat="false" ht="12.75" hidden="false" customHeight="true" outlineLevel="0" collapsed="false">
      <c r="A65" s="73"/>
      <c r="B65" s="85"/>
      <c r="C65" s="60" t="s">
        <v>14</v>
      </c>
      <c r="D65" s="50" t="n">
        <v>30</v>
      </c>
      <c r="E65" s="26" t="n">
        <f aca="false">D65*$E$1</f>
        <v>1290</v>
      </c>
      <c r="H65" s="78" t="s">
        <v>121</v>
      </c>
      <c r="I65" s="28" t="n">
        <f aca="false">SUMIF($C$1:$C$187,H65,$E$1:$E$187)</f>
        <v>860</v>
      </c>
      <c r="J65" s="29" t="n">
        <f aca="false">IF(P65&lt;&gt;"", ROUNDUP(I65/P65,0), I65/1000)</f>
        <v>9</v>
      </c>
      <c r="K65" s="29" t="s">
        <v>19</v>
      </c>
      <c r="L65" s="28"/>
      <c r="M65" s="30" t="n">
        <f aca="false">J65-L65</f>
        <v>9</v>
      </c>
      <c r="N65" s="31" t="n">
        <v>2.5</v>
      </c>
      <c r="O65" s="45" t="n">
        <f aca="false">N65*M65</f>
        <v>22.5</v>
      </c>
      <c r="P65" s="33" t="n">
        <v>100</v>
      </c>
      <c r="Q65" s="59"/>
      <c r="R65" s="59"/>
      <c r="S65" s="59"/>
      <c r="T65" s="59"/>
      <c r="U65" s="59"/>
      <c r="V65" s="59"/>
    </row>
    <row r="66" customFormat="false" ht="12.75" hidden="false" customHeight="true" outlineLevel="0" collapsed="false">
      <c r="A66" s="73"/>
      <c r="B66" s="85"/>
      <c r="C66" s="60" t="s">
        <v>21</v>
      </c>
      <c r="D66" s="50" t="n">
        <v>30</v>
      </c>
      <c r="E66" s="26" t="n">
        <f aca="false">D66*$E$1</f>
        <v>1290</v>
      </c>
      <c r="H66" s="78" t="s">
        <v>122</v>
      </c>
      <c r="I66" s="28" t="n">
        <f aca="false">SUMIF($C$1:$C$187,H66,$E$1:$E$187)</f>
        <v>2150</v>
      </c>
      <c r="J66" s="29" t="n">
        <f aca="false">IF(P66&lt;&gt;"", ROUNDUP(I66/P66,0), I66/1000)</f>
        <v>12</v>
      </c>
      <c r="K66" s="29" t="s">
        <v>19</v>
      </c>
      <c r="L66" s="28"/>
      <c r="M66" s="30" t="n">
        <f aca="false">J66-L66</f>
        <v>12</v>
      </c>
      <c r="N66" s="31" t="n">
        <v>2.5</v>
      </c>
      <c r="O66" s="45" t="n">
        <f aca="false">N66*M66</f>
        <v>30</v>
      </c>
      <c r="P66" s="33" t="n">
        <v>180</v>
      </c>
      <c r="Q66" s="59"/>
      <c r="R66" s="59"/>
      <c r="S66" s="59"/>
      <c r="T66" s="59"/>
      <c r="U66" s="59"/>
      <c r="V66" s="59"/>
    </row>
    <row r="67" customFormat="false" ht="12.75" hidden="false" customHeight="true" outlineLevel="0" collapsed="false">
      <c r="A67" s="73"/>
      <c r="B67" s="85"/>
      <c r="C67" s="60" t="s">
        <v>103</v>
      </c>
      <c r="D67" s="50" t="n">
        <v>20</v>
      </c>
      <c r="E67" s="26" t="n">
        <f aca="false">D67*$E$1</f>
        <v>860</v>
      </c>
      <c r="H67" s="27" t="s">
        <v>123</v>
      </c>
      <c r="I67" s="28" t="n">
        <f aca="false">SUMIF($C$1:$C$187,H67,$E$1:$E$187)</f>
        <v>430</v>
      </c>
      <c r="J67" s="29" t="n">
        <f aca="false">IF(P67&lt;&gt;"", ROUNDUP(I67/P67,0), I67/1000)</f>
        <v>3</v>
      </c>
      <c r="K67" s="29" t="s">
        <v>19</v>
      </c>
      <c r="L67" s="28"/>
      <c r="M67" s="30" t="n">
        <f aca="false">J67-L67</f>
        <v>3</v>
      </c>
      <c r="N67" s="31" t="n">
        <v>6</v>
      </c>
      <c r="O67" s="45" t="n">
        <f aca="false">N67*M67</f>
        <v>18</v>
      </c>
      <c r="P67" s="33" t="n">
        <v>170</v>
      </c>
      <c r="Q67" s="59"/>
      <c r="R67" s="59"/>
      <c r="S67" s="59"/>
      <c r="T67" s="59"/>
      <c r="U67" s="59"/>
      <c r="V67" s="59"/>
    </row>
    <row r="68" customFormat="false" ht="12.75" hidden="false" customHeight="true" outlineLevel="0" collapsed="false">
      <c r="A68" s="73"/>
      <c r="B68" s="85"/>
      <c r="C68" s="60" t="s">
        <v>121</v>
      </c>
      <c r="D68" s="50" t="n">
        <v>20</v>
      </c>
      <c r="E68" s="26" t="n">
        <f aca="false">D68*$E$1</f>
        <v>860</v>
      </c>
      <c r="H68" s="27" t="s">
        <v>124</v>
      </c>
      <c r="I68" s="28" t="n">
        <f aca="false">SUMIF($C$1:$C$187,H68,$E$1:$E$187)</f>
        <v>14620</v>
      </c>
      <c r="J68" s="29" t="n">
        <f aca="false">IF(P68&lt;&gt;"", ROUNDUP(I68/P68,0), I68/1000)</f>
        <v>44</v>
      </c>
      <c r="K68" s="29" t="s">
        <v>19</v>
      </c>
      <c r="L68" s="28"/>
      <c r="M68" s="30" t="n">
        <f aca="false">J68-L68</f>
        <v>44</v>
      </c>
      <c r="N68" s="31" t="n">
        <v>10</v>
      </c>
      <c r="O68" s="45" t="n">
        <f aca="false">N68*M68</f>
        <v>440</v>
      </c>
      <c r="P68" s="33" t="n">
        <v>338</v>
      </c>
      <c r="Q68" s="59"/>
      <c r="R68" s="59"/>
      <c r="S68" s="59"/>
      <c r="T68" s="59"/>
      <c r="U68" s="59"/>
      <c r="V68" s="59"/>
    </row>
    <row r="69" customFormat="false" ht="12.75" hidden="false" customHeight="true" outlineLevel="0" collapsed="false">
      <c r="A69" s="73"/>
      <c r="B69" s="85"/>
      <c r="C69" s="48" t="s">
        <v>23</v>
      </c>
      <c r="D69" s="50" t="n">
        <v>15</v>
      </c>
      <c r="E69" s="26" t="n">
        <f aca="false">D69*$E$1</f>
        <v>645</v>
      </c>
      <c r="H69" s="27" t="s">
        <v>125</v>
      </c>
      <c r="I69" s="28" t="n">
        <f aca="false">SUMIF($C$1:$C$187,H69,$E$1:$E$187)</f>
        <v>0</v>
      </c>
      <c r="J69" s="29" t="n">
        <f aca="false">IF(P69&lt;&gt;"", ROUNDUP(I69/P69,0), I69/1000)</f>
        <v>0</v>
      </c>
      <c r="K69" s="29" t="s">
        <v>15</v>
      </c>
      <c r="L69" s="28"/>
      <c r="M69" s="30" t="n">
        <f aca="false">J69-L69</f>
        <v>0</v>
      </c>
      <c r="N69" s="31" t="n">
        <v>0</v>
      </c>
      <c r="O69" s="45" t="n">
        <f aca="false">N69*M69</f>
        <v>0</v>
      </c>
      <c r="P69" s="33"/>
      <c r="Q69" s="59"/>
      <c r="R69" s="59"/>
      <c r="S69" s="59"/>
      <c r="T69" s="59"/>
      <c r="U69" s="59"/>
      <c r="V69" s="59"/>
    </row>
    <row r="70" customFormat="false" ht="12.75" hidden="false" customHeight="true" outlineLevel="0" collapsed="false">
      <c r="A70" s="73"/>
      <c r="B70" s="85"/>
      <c r="C70" s="27" t="s">
        <v>22</v>
      </c>
      <c r="D70" s="50" t="n">
        <v>11</v>
      </c>
      <c r="E70" s="26" t="n">
        <f aca="false">D70*$E$1</f>
        <v>473</v>
      </c>
      <c r="H70" s="82" t="s">
        <v>27</v>
      </c>
      <c r="I70" s="28" t="n">
        <f aca="false">SUMIF($C$1:$C$187,H70,$E$1:$E$187)</f>
        <v>2838</v>
      </c>
      <c r="J70" s="29" t="n">
        <f aca="false">IF(P70&lt;&gt;"", ROUNDUP(I70/P70,0), I70/1000)</f>
        <v>2.838</v>
      </c>
      <c r="K70" s="29" t="s">
        <v>15</v>
      </c>
      <c r="L70" s="28"/>
      <c r="M70" s="30" t="n">
        <f aca="false">J70-L70</f>
        <v>2.838</v>
      </c>
      <c r="N70" s="31" t="n">
        <v>20</v>
      </c>
      <c r="O70" s="45" t="n">
        <f aca="false">N70*M70</f>
        <v>56.76</v>
      </c>
      <c r="P70" s="33"/>
      <c r="Q70" s="59"/>
      <c r="R70" s="59"/>
      <c r="S70" s="59"/>
      <c r="T70" s="59"/>
      <c r="U70" s="59"/>
      <c r="V70" s="59"/>
    </row>
    <row r="71" customFormat="false" ht="12.75" hidden="false" customHeight="true" outlineLevel="0" collapsed="false">
      <c r="A71" s="73"/>
      <c r="B71" s="85"/>
      <c r="C71" s="49" t="s">
        <v>27</v>
      </c>
      <c r="D71" s="50" t="n">
        <v>10</v>
      </c>
      <c r="E71" s="26" t="n">
        <f aca="false">D71*$E$1</f>
        <v>430</v>
      </c>
      <c r="H71" s="27" t="s">
        <v>114</v>
      </c>
      <c r="I71" s="28" t="n">
        <f aca="false">SUMIF($C$1:$C$187,H71,$E$1:$E$187)</f>
        <v>4300</v>
      </c>
      <c r="J71" s="29" t="n">
        <f aca="false">IF(P71&lt;&gt;"", ROUNDUP(I71/P71,0), I71/1000)</f>
        <v>4.3</v>
      </c>
      <c r="K71" s="29" t="s">
        <v>15</v>
      </c>
      <c r="L71" s="28"/>
      <c r="M71" s="30" t="n">
        <f aca="false">J71-L71</f>
        <v>4.3</v>
      </c>
      <c r="N71" s="31" t="n">
        <v>4</v>
      </c>
      <c r="O71" s="45" t="n">
        <f aca="false">N71*M71</f>
        <v>17.2</v>
      </c>
      <c r="P71" s="33"/>
      <c r="Q71" s="59"/>
      <c r="R71" s="59"/>
      <c r="S71" s="59"/>
      <c r="T71" s="59"/>
      <c r="U71" s="59"/>
      <c r="V71" s="59"/>
    </row>
    <row r="72" customFormat="false" ht="12.75" hidden="false" customHeight="true" outlineLevel="0" collapsed="false">
      <c r="A72" s="73"/>
      <c r="B72" s="85"/>
      <c r="C72" s="52" t="s">
        <v>29</v>
      </c>
      <c r="D72" s="28" t="n">
        <v>20</v>
      </c>
      <c r="E72" s="26" t="n">
        <f aca="false">D72*$E$1</f>
        <v>860</v>
      </c>
      <c r="H72" s="27" t="s">
        <v>29</v>
      </c>
      <c r="I72" s="28" t="n">
        <f aca="false">SUMIF($C$1:$C$187,H72,$E$1:$E$187)</f>
        <v>7310</v>
      </c>
      <c r="J72" s="29" t="n">
        <f aca="false">IF(P72&lt;&gt;"", ROUNDUP(I72/P72,0), I72/1000)</f>
        <v>17</v>
      </c>
      <c r="K72" s="29" t="s">
        <v>19</v>
      </c>
      <c r="L72" s="28"/>
      <c r="M72" s="30" t="n">
        <f aca="false">J72-L72</f>
        <v>17</v>
      </c>
      <c r="N72" s="31" t="n">
        <v>2</v>
      </c>
      <c r="O72" s="45" t="n">
        <f aca="false">N72*M72</f>
        <v>34</v>
      </c>
      <c r="P72" s="33" t="n">
        <v>450</v>
      </c>
      <c r="Q72" s="59"/>
      <c r="R72" s="59"/>
      <c r="S72" s="59"/>
      <c r="T72" s="59"/>
      <c r="U72" s="59"/>
      <c r="V72" s="59"/>
    </row>
    <row r="73" customFormat="false" ht="12.75" hidden="false" customHeight="true" outlineLevel="0" collapsed="false">
      <c r="A73" s="73"/>
      <c r="B73" s="85"/>
      <c r="C73" s="27" t="s">
        <v>34</v>
      </c>
      <c r="D73" s="50" t="n">
        <v>1.3</v>
      </c>
      <c r="E73" s="26" t="n">
        <f aca="false">D73*$E$1</f>
        <v>55.9</v>
      </c>
      <c r="H73" s="27" t="s">
        <v>126</v>
      </c>
      <c r="I73" s="28" t="n">
        <f aca="false">SUMIF($C$1:$C$187,H73,$E$1:$E$187)</f>
        <v>946</v>
      </c>
      <c r="J73" s="29" t="n">
        <f aca="false">IF(P73&lt;&gt;"", ROUNDUP(I73/P73,0), I73/1000)</f>
        <v>2</v>
      </c>
      <c r="K73" s="29" t="s">
        <v>19</v>
      </c>
      <c r="L73" s="28"/>
      <c r="M73" s="30" t="n">
        <f aca="false">J73-L73</f>
        <v>2</v>
      </c>
      <c r="N73" s="31" t="n">
        <v>4</v>
      </c>
      <c r="O73" s="45" t="n">
        <f aca="false">N73*M73</f>
        <v>8</v>
      </c>
      <c r="P73" s="33" t="n">
        <v>500</v>
      </c>
      <c r="Q73" s="59"/>
      <c r="R73" s="59"/>
      <c r="S73" s="59"/>
      <c r="T73" s="59"/>
      <c r="U73" s="59"/>
      <c r="V73" s="59"/>
    </row>
    <row r="74" customFormat="false" ht="12.75" hidden="false" customHeight="true" outlineLevel="0" collapsed="false">
      <c r="A74" s="73"/>
      <c r="B74" s="85"/>
      <c r="C74" s="60" t="s">
        <v>38</v>
      </c>
      <c r="D74" s="50" t="n">
        <v>3</v>
      </c>
      <c r="E74" s="26" t="n">
        <f aca="false">D74*$E$1</f>
        <v>129</v>
      </c>
      <c r="H74" s="27" t="s">
        <v>90</v>
      </c>
      <c r="I74" s="28" t="n">
        <f aca="false">SUMIF($C$1:$C$187,H74,$E$1:$E$187)</f>
        <v>2967</v>
      </c>
      <c r="J74" s="29" t="n">
        <f aca="false">IF(P74&lt;&gt;"", ROUNDUP(I74/P74,0), I74/1000)</f>
        <v>2.967</v>
      </c>
      <c r="K74" s="29" t="s">
        <v>15</v>
      </c>
      <c r="L74" s="28"/>
      <c r="M74" s="30" t="n">
        <f aca="false">J74-L74</f>
        <v>2.967</v>
      </c>
      <c r="N74" s="31" t="n">
        <v>2</v>
      </c>
      <c r="O74" s="45" t="n">
        <f aca="false">N74*M74</f>
        <v>5.934</v>
      </c>
      <c r="P74" s="33"/>
      <c r="Q74" s="59"/>
      <c r="R74" s="59"/>
      <c r="S74" s="59"/>
      <c r="T74" s="59"/>
      <c r="U74" s="59"/>
      <c r="V74" s="59"/>
    </row>
    <row r="75" customFormat="false" ht="12" hidden="false" customHeight="true" outlineLevel="0" collapsed="false">
      <c r="A75" s="73"/>
      <c r="B75" s="85"/>
      <c r="C75" s="62" t="s">
        <v>40</v>
      </c>
      <c r="D75" s="50" t="n">
        <v>30</v>
      </c>
      <c r="E75" s="26" t="n">
        <f aca="false">D75*$E$1</f>
        <v>1290</v>
      </c>
      <c r="H75" s="27" t="s">
        <v>127</v>
      </c>
      <c r="I75" s="28" t="n">
        <f aca="false">SUMIF($C$1:$C$187,H75,$E$1:$E$187)</f>
        <v>0</v>
      </c>
      <c r="J75" s="29" t="n">
        <f aca="false">IF(P75&lt;&gt;"", ROUNDUP(I75/P75,0), I75/1000)</f>
        <v>0</v>
      </c>
      <c r="K75" s="29" t="s">
        <v>15</v>
      </c>
      <c r="L75" s="28"/>
      <c r="M75" s="30" t="n">
        <f aca="false">J75-L75</f>
        <v>0</v>
      </c>
      <c r="N75" s="31" t="n">
        <v>0</v>
      </c>
      <c r="O75" s="45" t="n">
        <f aca="false">N75*M75</f>
        <v>0</v>
      </c>
      <c r="P75" s="33"/>
    </row>
    <row r="76" customFormat="false" ht="12.75" hidden="false" customHeight="true" outlineLevel="0" collapsed="false">
      <c r="A76" s="73"/>
      <c r="B76" s="85"/>
      <c r="C76" s="60" t="s">
        <v>118</v>
      </c>
      <c r="D76" s="67" t="n">
        <v>5</v>
      </c>
      <c r="E76" s="26" t="n">
        <f aca="false">D76*$E$1</f>
        <v>215</v>
      </c>
      <c r="H76" s="78" t="s">
        <v>128</v>
      </c>
      <c r="I76" s="28" t="n">
        <f aca="false">SUMIF($C$1:$C$187,H76,$E$1:$E$187)</f>
        <v>860</v>
      </c>
      <c r="J76" s="29" t="n">
        <f aca="false">IF(P76&lt;&gt;"", ROUNDUP(I76/P76,0), I76/1000)</f>
        <v>0.86</v>
      </c>
      <c r="K76" s="29" t="s">
        <v>15</v>
      </c>
      <c r="L76" s="28"/>
      <c r="M76" s="30" t="n">
        <f aca="false">J76-L76</f>
        <v>0.86</v>
      </c>
      <c r="N76" s="31" t="n">
        <v>20</v>
      </c>
      <c r="O76" s="45" t="n">
        <f aca="false">N76*M76</f>
        <v>17.2</v>
      </c>
      <c r="P76" s="33"/>
    </row>
    <row r="77" customFormat="false" ht="12.75" hidden="false" customHeight="true" outlineLevel="0" collapsed="false">
      <c r="A77" s="73"/>
      <c r="B77" s="85"/>
      <c r="C77" s="60" t="s">
        <v>35</v>
      </c>
      <c r="D77" s="67" t="n">
        <v>10</v>
      </c>
      <c r="E77" s="26" t="n">
        <f aca="false">D77*$E$1</f>
        <v>430</v>
      </c>
      <c r="H77" s="78" t="s">
        <v>129</v>
      </c>
      <c r="I77" s="28" t="n">
        <f aca="false">SUMIF($C$1:$C$187,H77,$E$1:$E$187)</f>
        <v>430</v>
      </c>
      <c r="J77" s="29" t="n">
        <f aca="false">IF(P77&lt;&gt;"", ROUNDUP(I77/P77,0), I77/1000)</f>
        <v>0.43</v>
      </c>
      <c r="K77" s="29" t="s">
        <v>15</v>
      </c>
      <c r="L77" s="28"/>
      <c r="M77" s="30" t="n">
        <f aca="false">J77-L77</f>
        <v>0.43</v>
      </c>
      <c r="N77" s="31" t="n">
        <v>10</v>
      </c>
      <c r="O77" s="45" t="n">
        <f aca="false">N77*M77</f>
        <v>4.3</v>
      </c>
      <c r="P77" s="33"/>
    </row>
    <row r="78" customFormat="false" ht="12.75" hidden="false" customHeight="true" outlineLevel="0" collapsed="false">
      <c r="A78" s="73"/>
      <c r="B78" s="85"/>
      <c r="C78" s="24" t="s">
        <v>32</v>
      </c>
      <c r="D78" s="25" t="n">
        <v>10</v>
      </c>
      <c r="E78" s="26" t="n">
        <f aca="false">D78*$E$1</f>
        <v>430</v>
      </c>
      <c r="H78" s="78" t="s">
        <v>130</v>
      </c>
      <c r="I78" s="28" t="n">
        <f aca="false">SUMIF($C$1:$C$187,H78,$E$1:$E$187)</f>
        <v>215</v>
      </c>
      <c r="J78" s="29" t="n">
        <f aca="false">IF(P78&lt;&gt;"", ROUNDUP(I78/P78,0), I78/1000)</f>
        <v>2</v>
      </c>
      <c r="K78" s="29" t="s">
        <v>19</v>
      </c>
      <c r="L78" s="28"/>
      <c r="M78" s="30" t="n">
        <f aca="false">J78-L78</f>
        <v>2</v>
      </c>
      <c r="N78" s="31" t="n">
        <v>5</v>
      </c>
      <c r="O78" s="45" t="n">
        <f aca="false">N78*M78</f>
        <v>10</v>
      </c>
      <c r="P78" s="33" t="n">
        <v>180</v>
      </c>
    </row>
    <row r="79" customFormat="false" ht="12.75" hidden="false" customHeight="true" outlineLevel="0" collapsed="false">
      <c r="A79" s="73"/>
      <c r="B79" s="85"/>
      <c r="C79" s="62" t="s">
        <v>44</v>
      </c>
      <c r="D79" s="28" t="n">
        <v>10</v>
      </c>
      <c r="E79" s="26" t="n">
        <f aca="false">D79*$E$1</f>
        <v>430</v>
      </c>
      <c r="H79" s="78" t="s">
        <v>64</v>
      </c>
      <c r="I79" s="28" t="n">
        <f aca="false">SUMIF($C$1:$C$187,H79,$E$1:$E$187)</f>
        <v>129</v>
      </c>
      <c r="J79" s="29" t="n">
        <f aca="false">IF(P79&lt;&gt;"", ROUNDUP(I79/P79,0), I79/1000)</f>
        <v>13</v>
      </c>
      <c r="K79" s="29" t="s">
        <v>19</v>
      </c>
      <c r="L79" s="28"/>
      <c r="M79" s="30" t="n">
        <f aca="false">J79-L79</f>
        <v>13</v>
      </c>
      <c r="N79" s="31" t="n">
        <v>4</v>
      </c>
      <c r="O79" s="45" t="n">
        <f aca="false">N79*M79</f>
        <v>52</v>
      </c>
      <c r="P79" s="97" t="n">
        <v>10</v>
      </c>
    </row>
    <row r="80" customFormat="false" ht="12.75" hidden="false" customHeight="true" outlineLevel="0" collapsed="false">
      <c r="A80" s="73"/>
      <c r="B80" s="85"/>
      <c r="C80" s="60"/>
      <c r="D80" s="67"/>
      <c r="E80" s="26"/>
    </row>
    <row r="81" customFormat="false" ht="12.75" hidden="false" customHeight="true" outlineLevel="0" collapsed="false">
      <c r="A81" s="73"/>
      <c r="B81" s="85"/>
      <c r="C81" s="93"/>
      <c r="D81" s="5"/>
      <c r="E81" s="94"/>
      <c r="P81" s="98"/>
      <c r="U81" s="99"/>
    </row>
    <row r="82" customFormat="false" ht="12.75" hidden="false" customHeight="true" outlineLevel="0" collapsed="false">
      <c r="A82" s="100" t="s">
        <v>131</v>
      </c>
      <c r="B82" s="13" t="s">
        <v>132</v>
      </c>
      <c r="C82" s="101" t="s">
        <v>82</v>
      </c>
      <c r="D82" s="75" t="n">
        <v>80</v>
      </c>
      <c r="E82" s="16" t="n">
        <f aca="false">D82*$E$1</f>
        <v>3440</v>
      </c>
      <c r="H82" s="98"/>
      <c r="I82" s="98"/>
      <c r="J82" s="98"/>
      <c r="K82" s="98"/>
      <c r="P82" s="102"/>
      <c r="U82" s="99"/>
    </row>
    <row r="83" customFormat="false" ht="12.75" hidden="false" customHeight="true" outlineLevel="0" collapsed="false">
      <c r="A83" s="100"/>
      <c r="B83" s="13"/>
      <c r="C83" s="62" t="s">
        <v>44</v>
      </c>
      <c r="D83" s="28" t="n">
        <v>10</v>
      </c>
      <c r="E83" s="26" t="n">
        <f aca="false">D83*$E$1</f>
        <v>430</v>
      </c>
      <c r="H83" s="98"/>
      <c r="I83" s="98"/>
      <c r="J83" s="98"/>
      <c r="K83" s="98"/>
      <c r="P83" s="98"/>
      <c r="U83" s="99"/>
    </row>
    <row r="84" customFormat="false" ht="12.75" hidden="false" customHeight="true" outlineLevel="0" collapsed="false">
      <c r="A84" s="100"/>
      <c r="B84" s="13"/>
      <c r="C84" s="52" t="s">
        <v>47</v>
      </c>
      <c r="D84" s="50" t="n">
        <v>20</v>
      </c>
      <c r="E84" s="26" t="n">
        <f aca="false">D84*$E$1</f>
        <v>860</v>
      </c>
      <c r="H84" s="98"/>
      <c r="I84" s="98"/>
      <c r="P84" s="98"/>
      <c r="U84" s="99"/>
    </row>
    <row r="85" customFormat="false" ht="12.75" hidden="false" customHeight="true" outlineLevel="0" collapsed="false">
      <c r="A85" s="100"/>
      <c r="B85" s="13"/>
      <c r="C85" s="36" t="s">
        <v>59</v>
      </c>
      <c r="D85" s="50" t="n">
        <v>10</v>
      </c>
      <c r="E85" s="26" t="n">
        <f aca="false">D85*$E$1</f>
        <v>430</v>
      </c>
      <c r="K85" s="98"/>
      <c r="U85" s="103"/>
    </row>
    <row r="86" customFormat="false" ht="12.75" hidden="false" customHeight="true" outlineLevel="0" collapsed="false">
      <c r="A86" s="100"/>
      <c r="B86" s="13"/>
      <c r="C86" s="89" t="s">
        <v>128</v>
      </c>
      <c r="D86" s="28" t="n">
        <v>20</v>
      </c>
      <c r="E86" s="26" t="n">
        <f aca="false">D86*$E$1</f>
        <v>860</v>
      </c>
      <c r="H86" s="104" t="s">
        <v>133</v>
      </c>
      <c r="I86" s="98" t="s">
        <v>134</v>
      </c>
      <c r="J86" s="1" t="n">
        <v>1</v>
      </c>
      <c r="K86" s="29" t="s">
        <v>19</v>
      </c>
      <c r="M86" s="1" t="n">
        <v>1</v>
      </c>
      <c r="N86" s="1" t="n">
        <v>25</v>
      </c>
      <c r="O86" s="105"/>
      <c r="P86" s="98"/>
      <c r="Q86" s="106" t="s">
        <v>135</v>
      </c>
      <c r="U86" s="99"/>
    </row>
    <row r="87" customFormat="false" ht="12.75" hidden="false" customHeight="true" outlineLevel="0" collapsed="false">
      <c r="A87" s="100"/>
      <c r="B87" s="13"/>
      <c r="C87" s="60" t="s">
        <v>84</v>
      </c>
      <c r="D87" s="28" t="n">
        <v>50</v>
      </c>
      <c r="E87" s="26" t="n">
        <f aca="false">D87*$E$1</f>
        <v>2150</v>
      </c>
      <c r="H87" s="98" t="s">
        <v>136</v>
      </c>
      <c r="I87" s="98"/>
      <c r="J87" s="1" t="n">
        <v>1</v>
      </c>
      <c r="K87" s="29" t="s">
        <v>19</v>
      </c>
      <c r="L87" s="98"/>
      <c r="M87" s="1" t="n">
        <v>1</v>
      </c>
      <c r="N87" s="98" t="n">
        <v>10</v>
      </c>
      <c r="O87" s="102"/>
      <c r="P87" s="98"/>
      <c r="U87" s="99"/>
    </row>
    <row r="88" customFormat="false" ht="12.75" hidden="false" customHeight="true" outlineLevel="0" collapsed="false">
      <c r="A88" s="100"/>
      <c r="B88" s="13"/>
      <c r="C88" s="60" t="s">
        <v>108</v>
      </c>
      <c r="D88" s="28" t="n">
        <v>40</v>
      </c>
      <c r="E88" s="26" t="n">
        <f aca="false">D88*$E$1</f>
        <v>1720</v>
      </c>
      <c r="H88" s="98" t="s">
        <v>137</v>
      </c>
      <c r="I88" s="98"/>
      <c r="J88" s="1" t="n">
        <v>1</v>
      </c>
      <c r="K88" s="29" t="s">
        <v>19</v>
      </c>
      <c r="L88" s="98"/>
      <c r="M88" s="1" t="n">
        <v>1</v>
      </c>
      <c r="N88" s="98" t="n">
        <v>10</v>
      </c>
      <c r="O88" s="102"/>
      <c r="U88" s="99"/>
    </row>
    <row r="89" customFormat="false" ht="12.75" hidden="false" customHeight="true" outlineLevel="0" collapsed="false">
      <c r="A89" s="100"/>
      <c r="B89" s="13"/>
      <c r="C89" s="60" t="s">
        <v>122</v>
      </c>
      <c r="D89" s="50" t="n">
        <v>50</v>
      </c>
      <c r="E89" s="26" t="n">
        <f aca="false">D89*$E$1</f>
        <v>2150</v>
      </c>
      <c r="H89" s="104" t="s">
        <v>138</v>
      </c>
      <c r="J89" s="1" t="n">
        <v>1</v>
      </c>
      <c r="K89" s="29" t="s">
        <v>19</v>
      </c>
      <c r="L89" s="98"/>
      <c r="M89" s="1" t="n">
        <v>1</v>
      </c>
      <c r="N89" s="1" t="n">
        <v>10</v>
      </c>
      <c r="O89" s="102"/>
      <c r="U89" s="99"/>
    </row>
    <row r="90" customFormat="false" ht="12.75" hidden="false" customHeight="true" outlineLevel="0" collapsed="false">
      <c r="A90" s="100"/>
      <c r="B90" s="13"/>
      <c r="C90" s="36" t="s">
        <v>23</v>
      </c>
      <c r="D90" s="50" t="n">
        <v>15</v>
      </c>
      <c r="E90" s="26" t="n">
        <f aca="false">D90*$E$1</f>
        <v>645</v>
      </c>
      <c r="H90" s="104" t="s">
        <v>139</v>
      </c>
      <c r="J90" s="1" t="n">
        <v>1</v>
      </c>
      <c r="K90" s="29" t="s">
        <v>19</v>
      </c>
      <c r="M90" s="1" t="n">
        <v>1</v>
      </c>
      <c r="N90" s="1" t="n">
        <v>30</v>
      </c>
      <c r="O90" s="9"/>
      <c r="U90" s="99"/>
    </row>
    <row r="91" customFormat="false" ht="12.75" hidden="false" customHeight="true" outlineLevel="0" collapsed="false">
      <c r="A91" s="100"/>
      <c r="B91" s="13"/>
      <c r="C91" s="24" t="s">
        <v>70</v>
      </c>
      <c r="D91" s="28" t="n">
        <v>20</v>
      </c>
      <c r="E91" s="26" t="n">
        <f aca="false">D91*$E$1</f>
        <v>860</v>
      </c>
      <c r="O91" s="9"/>
      <c r="U91" s="99"/>
    </row>
    <row r="92" customFormat="false" ht="12.75" hidden="false" customHeight="true" outlineLevel="0" collapsed="false">
      <c r="A92" s="100"/>
      <c r="B92" s="13"/>
      <c r="C92" s="60" t="s">
        <v>40</v>
      </c>
      <c r="D92" s="67" t="n">
        <v>30</v>
      </c>
      <c r="E92" s="26" t="n">
        <f aca="false">D92*$E$1</f>
        <v>1290</v>
      </c>
      <c r="L92" s="107"/>
      <c r="N92" s="1" t="n">
        <f aca="false">SUM(N86:N91)</f>
        <v>85</v>
      </c>
      <c r="O92" s="9"/>
      <c r="U92" s="99"/>
    </row>
    <row r="93" customFormat="false" ht="12.75" hidden="false" customHeight="true" outlineLevel="0" collapsed="false">
      <c r="A93" s="100"/>
      <c r="B93" s="13"/>
      <c r="C93" s="36" t="s">
        <v>54</v>
      </c>
      <c r="D93" s="67" t="n">
        <v>4</v>
      </c>
      <c r="E93" s="26" t="n">
        <f aca="false">D93*$E$1</f>
        <v>172</v>
      </c>
      <c r="N93" s="9"/>
      <c r="O93" s="9"/>
      <c r="U93" s="99"/>
    </row>
    <row r="94" customFormat="false" ht="12.75" hidden="false" customHeight="true" outlineLevel="0" collapsed="false">
      <c r="A94" s="100"/>
      <c r="B94" s="13"/>
      <c r="C94" s="87" t="s">
        <v>34</v>
      </c>
      <c r="D94" s="67" t="n">
        <v>1.3</v>
      </c>
      <c r="E94" s="26" t="n">
        <f aca="false">D94*$E$1</f>
        <v>55.9</v>
      </c>
      <c r="L94" s="108" t="n">
        <f aca="false">SUM(O3:O79)+N92</f>
        <v>2507.1425</v>
      </c>
      <c r="U94" s="99"/>
    </row>
    <row r="95" customFormat="false" ht="12.75" hidden="false" customHeight="true" outlineLevel="0" collapsed="false">
      <c r="A95" s="100"/>
      <c r="B95" s="13"/>
      <c r="C95" s="60" t="s">
        <v>57</v>
      </c>
      <c r="D95" s="67" t="n">
        <v>2</v>
      </c>
      <c r="E95" s="26" t="n">
        <f aca="false">D95*$E$1</f>
        <v>86</v>
      </c>
      <c r="H95" s="109"/>
      <c r="J95" s="109"/>
      <c r="K95" s="109"/>
      <c r="L95" s="108"/>
      <c r="M95" s="110" t="n">
        <f aca="false">L94/E1</f>
        <v>58.3056395348837</v>
      </c>
      <c r="N95" s="111"/>
      <c r="O95" s="111"/>
      <c r="U95" s="99"/>
    </row>
    <row r="96" customFormat="false" ht="12.75" hidden="false" customHeight="true" outlineLevel="0" collapsed="false">
      <c r="A96" s="100"/>
      <c r="B96" s="13"/>
      <c r="C96" s="60" t="s">
        <v>38</v>
      </c>
      <c r="D96" s="67" t="n">
        <v>5</v>
      </c>
      <c r="E96" s="26" t="n">
        <f aca="false">D96*$E$1</f>
        <v>215</v>
      </c>
      <c r="H96" s="109"/>
      <c r="J96" s="109"/>
      <c r="K96" s="109"/>
      <c r="L96" s="111" t="s">
        <v>140</v>
      </c>
      <c r="M96" s="112" t="s">
        <v>141</v>
      </c>
      <c r="N96" s="111" t="s">
        <v>142</v>
      </c>
      <c r="O96" s="111" t="s">
        <v>143</v>
      </c>
      <c r="U96" s="99"/>
    </row>
    <row r="97" customFormat="false" ht="12.75" hidden="false" customHeight="true" outlineLevel="0" collapsed="false">
      <c r="A97" s="100"/>
      <c r="B97" s="13"/>
      <c r="C97" s="77" t="s">
        <v>77</v>
      </c>
      <c r="D97" s="67" t="n">
        <v>15</v>
      </c>
      <c r="E97" s="26" t="n">
        <f aca="false">D97*$E$1</f>
        <v>645</v>
      </c>
      <c r="H97" s="104"/>
      <c r="I97" s="104"/>
      <c r="J97" s="104"/>
      <c r="K97" s="104"/>
      <c r="U97" s="99"/>
    </row>
    <row r="98" customFormat="false" ht="12.75" hidden="false" customHeight="true" outlineLevel="0" collapsed="false">
      <c r="A98" s="100"/>
      <c r="B98" s="13"/>
      <c r="C98" s="60" t="s">
        <v>26</v>
      </c>
      <c r="D98" s="67" t="n">
        <v>10</v>
      </c>
      <c r="E98" s="26" t="n">
        <f aca="false">D98*$E$1</f>
        <v>430</v>
      </c>
      <c r="H98" s="104"/>
      <c r="I98" s="104"/>
      <c r="J98" s="104"/>
      <c r="K98" s="104"/>
      <c r="L98" s="104"/>
      <c r="U98" s="99"/>
    </row>
    <row r="99" customFormat="false" ht="12.75" hidden="false" customHeight="true" outlineLevel="0" collapsed="false">
      <c r="A99" s="100"/>
      <c r="B99" s="13"/>
      <c r="C99" s="60" t="s">
        <v>81</v>
      </c>
      <c r="D99" s="67" t="n">
        <v>5</v>
      </c>
      <c r="E99" s="26" t="n">
        <f aca="false">D99*$E$1</f>
        <v>215</v>
      </c>
      <c r="H99" s="104"/>
      <c r="I99" s="104"/>
      <c r="J99" s="104"/>
      <c r="K99" s="104"/>
      <c r="L99" s="104"/>
      <c r="U99" s="99"/>
    </row>
    <row r="100" customFormat="false" ht="12.75" hidden="false" customHeight="true" outlineLevel="0" collapsed="false">
      <c r="A100" s="100"/>
      <c r="B100" s="13"/>
      <c r="C100" s="60"/>
      <c r="D100" s="67"/>
      <c r="E100" s="83"/>
      <c r="H100" s="104"/>
      <c r="I100" s="104"/>
      <c r="J100" s="104"/>
      <c r="K100" s="104"/>
      <c r="L100" s="104"/>
      <c r="U100" s="99"/>
    </row>
    <row r="101" customFormat="false" ht="12.75" hidden="false" customHeight="true" outlineLevel="0" collapsed="false">
      <c r="A101" s="100"/>
      <c r="B101" s="13"/>
      <c r="C101" s="60"/>
      <c r="D101" s="67"/>
      <c r="E101" s="83"/>
      <c r="H101" s="104"/>
      <c r="I101" s="104"/>
      <c r="J101" s="104"/>
      <c r="K101" s="104"/>
      <c r="L101" s="104"/>
      <c r="U101" s="99"/>
    </row>
    <row r="102" customFormat="false" ht="12.75" hidden="false" customHeight="true" outlineLevel="0" collapsed="false">
      <c r="A102" s="100"/>
      <c r="B102" s="13"/>
      <c r="C102" s="69"/>
      <c r="D102" s="70"/>
      <c r="E102" s="113"/>
      <c r="H102" s="104"/>
      <c r="I102" s="104"/>
      <c r="J102" s="104"/>
      <c r="K102" s="104"/>
      <c r="L102" s="104"/>
      <c r="U102" s="99"/>
    </row>
    <row r="103" customFormat="false" ht="12.75" hidden="false" customHeight="true" outlineLevel="0" collapsed="false">
      <c r="A103" s="100"/>
      <c r="B103" s="13" t="s">
        <v>89</v>
      </c>
      <c r="C103" s="114" t="s">
        <v>41</v>
      </c>
      <c r="D103" s="115" t="n">
        <v>100</v>
      </c>
      <c r="E103" s="116" t="n">
        <f aca="false">D103*$E$1</f>
        <v>4300</v>
      </c>
      <c r="H103" s="104"/>
      <c r="I103" s="104"/>
      <c r="J103" s="104"/>
      <c r="K103" s="104"/>
      <c r="L103" s="104"/>
      <c r="O103" s="117"/>
      <c r="U103" s="99"/>
    </row>
    <row r="104" customFormat="false" ht="12.75" hidden="false" customHeight="true" outlineLevel="0" collapsed="false">
      <c r="A104" s="100"/>
      <c r="B104" s="13"/>
      <c r="C104" s="60" t="s">
        <v>33</v>
      </c>
      <c r="D104" s="67" t="n">
        <v>50</v>
      </c>
      <c r="E104" s="26" t="n">
        <f aca="false">D104*$E$1</f>
        <v>2150</v>
      </c>
      <c r="H104" s="104"/>
      <c r="I104" s="104"/>
      <c r="J104" s="104"/>
      <c r="K104" s="104"/>
      <c r="L104" s="104"/>
      <c r="O104" s="117"/>
      <c r="U104" s="99"/>
    </row>
    <row r="105" customFormat="false" ht="12.75" hidden="false" customHeight="true" outlineLevel="0" collapsed="false">
      <c r="A105" s="100"/>
      <c r="B105" s="13"/>
      <c r="C105" s="89" t="s">
        <v>90</v>
      </c>
      <c r="D105" s="28" t="n">
        <v>19</v>
      </c>
      <c r="E105" s="26" t="n">
        <f aca="false">D105*$E$1</f>
        <v>817</v>
      </c>
      <c r="I105" s="104"/>
      <c r="J105" s="104"/>
      <c r="K105" s="104"/>
      <c r="L105" s="104"/>
      <c r="N105" s="9"/>
      <c r="O105" s="117"/>
      <c r="U105" s="99"/>
    </row>
    <row r="106" customFormat="false" ht="12.75" hidden="false" customHeight="true" outlineLevel="0" collapsed="false">
      <c r="A106" s="100"/>
      <c r="B106" s="13"/>
      <c r="C106" s="60" t="s">
        <v>94</v>
      </c>
      <c r="D106" s="67" t="n">
        <v>30</v>
      </c>
      <c r="E106" s="26" t="n">
        <f aca="false">D106*$E$1</f>
        <v>1290</v>
      </c>
      <c r="I106" s="104"/>
      <c r="J106" s="104"/>
      <c r="K106" s="104"/>
      <c r="L106" s="104"/>
      <c r="N106" s="9" t="s">
        <v>144</v>
      </c>
      <c r="O106" s="117"/>
      <c r="U106" s="99"/>
    </row>
    <row r="107" customFormat="false" ht="12.75" hidden="false" customHeight="true" outlineLevel="0" collapsed="false">
      <c r="A107" s="100"/>
      <c r="B107" s="13"/>
      <c r="C107" s="52" t="s">
        <v>124</v>
      </c>
      <c r="D107" s="88" t="n">
        <v>100</v>
      </c>
      <c r="E107" s="80" t="n">
        <f aca="false">D107*$E$1</f>
        <v>4300</v>
      </c>
      <c r="H107" s="104"/>
      <c r="I107" s="104"/>
      <c r="J107" s="104"/>
      <c r="K107" s="104"/>
      <c r="L107" s="104"/>
      <c r="N107" s="9"/>
      <c r="O107" s="117"/>
      <c r="U107" s="99"/>
    </row>
    <row r="108" customFormat="false" ht="12.75" hidden="false" customHeight="true" outlineLevel="0" collapsed="false">
      <c r="A108" s="100"/>
      <c r="B108" s="13"/>
      <c r="C108" s="48" t="s">
        <v>23</v>
      </c>
      <c r="D108" s="118" t="n">
        <v>10</v>
      </c>
      <c r="E108" s="26" t="n">
        <f aca="false">D108*$E$1</f>
        <v>430</v>
      </c>
      <c r="H108" s="104"/>
      <c r="I108" s="104"/>
      <c r="J108" s="104"/>
      <c r="K108" s="104"/>
      <c r="L108" s="104"/>
      <c r="N108" s="9"/>
      <c r="O108" s="117"/>
      <c r="U108" s="99"/>
    </row>
    <row r="109" customFormat="false" ht="12.75" hidden="false" customHeight="true" outlineLevel="0" collapsed="false">
      <c r="A109" s="100"/>
      <c r="B109" s="13"/>
      <c r="C109" s="52" t="s">
        <v>129</v>
      </c>
      <c r="D109" s="50" t="n">
        <v>10</v>
      </c>
      <c r="E109" s="26" t="n">
        <f aca="false">D109*$E$1</f>
        <v>430</v>
      </c>
      <c r="I109" s="9"/>
      <c r="J109" s="9"/>
      <c r="K109" s="9"/>
      <c r="L109" s="104"/>
      <c r="N109" s="9"/>
      <c r="O109" s="117"/>
      <c r="U109" s="99"/>
    </row>
    <row r="110" customFormat="false" ht="12.75" hidden="false" customHeight="true" outlineLevel="0" collapsed="false">
      <c r="A110" s="100"/>
      <c r="B110" s="13"/>
      <c r="C110" s="27" t="s">
        <v>18</v>
      </c>
      <c r="D110" s="50" t="n">
        <v>10</v>
      </c>
      <c r="E110" s="26" t="n">
        <f aca="false">D110*$E$1</f>
        <v>430</v>
      </c>
      <c r="I110" s="9"/>
      <c r="J110" s="9"/>
      <c r="K110" s="9"/>
      <c r="N110" s="9"/>
      <c r="O110" s="117"/>
      <c r="U110" s="99"/>
    </row>
    <row r="111" customFormat="false" ht="12.75" hidden="false" customHeight="true" outlineLevel="0" collapsed="false">
      <c r="A111" s="100"/>
      <c r="B111" s="13"/>
      <c r="C111" s="60" t="s">
        <v>123</v>
      </c>
      <c r="D111" s="67" t="n">
        <v>10</v>
      </c>
      <c r="E111" s="26" t="n">
        <f aca="false">D111*$E$1</f>
        <v>430</v>
      </c>
      <c r="I111" s="9"/>
      <c r="J111" s="9"/>
      <c r="K111" s="9"/>
      <c r="N111" s="9"/>
      <c r="O111" s="9"/>
      <c r="U111" s="99"/>
    </row>
    <row r="112" customFormat="false" ht="12.75" hidden="false" customHeight="true" outlineLevel="0" collapsed="false">
      <c r="A112" s="100"/>
      <c r="B112" s="13"/>
      <c r="C112" s="52" t="s">
        <v>29</v>
      </c>
      <c r="D112" s="28" t="n">
        <v>40</v>
      </c>
      <c r="E112" s="26" t="n">
        <f aca="false">D112*$E$1</f>
        <v>1720</v>
      </c>
      <c r="I112" s="9"/>
      <c r="J112" s="9"/>
      <c r="K112" s="9"/>
      <c r="N112" s="9"/>
      <c r="O112" s="9"/>
      <c r="U112" s="99"/>
    </row>
    <row r="113" customFormat="false" ht="12.75" hidden="false" customHeight="true" outlineLevel="0" collapsed="false">
      <c r="A113" s="100"/>
      <c r="B113" s="13"/>
      <c r="C113" s="89" t="s">
        <v>30</v>
      </c>
      <c r="D113" s="28" t="n">
        <v>30</v>
      </c>
      <c r="E113" s="26" t="n">
        <f aca="false">D113*$E$1</f>
        <v>1290</v>
      </c>
      <c r="I113" s="9"/>
      <c r="J113" s="9"/>
      <c r="K113" s="9"/>
      <c r="N113" s="9"/>
      <c r="O113" s="9"/>
      <c r="U113" s="99"/>
    </row>
    <row r="114" customFormat="false" ht="12.75" hidden="false" customHeight="true" outlineLevel="0" collapsed="false">
      <c r="A114" s="100"/>
      <c r="B114" s="13"/>
      <c r="C114" s="52" t="s">
        <v>65</v>
      </c>
      <c r="D114" s="28" t="n">
        <v>40</v>
      </c>
      <c r="E114" s="26" t="n">
        <f aca="false">D114*$E$1</f>
        <v>1720</v>
      </c>
      <c r="I114" s="9"/>
      <c r="J114" s="117"/>
      <c r="K114" s="117"/>
      <c r="N114" s="9"/>
      <c r="O114" s="9"/>
      <c r="U114" s="99"/>
    </row>
    <row r="115" customFormat="false" ht="12.75" hidden="false" customHeight="true" outlineLevel="0" collapsed="false">
      <c r="A115" s="100"/>
      <c r="B115" s="13"/>
      <c r="C115" s="60" t="s">
        <v>106</v>
      </c>
      <c r="D115" s="28" t="n">
        <v>10</v>
      </c>
      <c r="E115" s="26" t="n">
        <f aca="false">D115*$E$1</f>
        <v>430</v>
      </c>
      <c r="I115" s="9"/>
      <c r="J115" s="117"/>
      <c r="K115" s="117"/>
      <c r="N115" s="9"/>
      <c r="O115" s="9"/>
      <c r="U115" s="99"/>
    </row>
    <row r="116" customFormat="false" ht="12.75" hidden="false" customHeight="true" outlineLevel="0" collapsed="false">
      <c r="A116" s="100"/>
      <c r="B116" s="13"/>
      <c r="C116" s="89" t="s">
        <v>108</v>
      </c>
      <c r="D116" s="28" t="n">
        <v>20</v>
      </c>
      <c r="E116" s="26" t="n">
        <f aca="false">D116*$E$1</f>
        <v>860</v>
      </c>
      <c r="H116" s="8"/>
      <c r="N116" s="9"/>
      <c r="O116" s="9"/>
      <c r="U116" s="99"/>
    </row>
    <row r="117" customFormat="false" ht="12.75" hidden="false" customHeight="true" outlineLevel="0" collapsed="false">
      <c r="A117" s="100"/>
      <c r="B117" s="13"/>
      <c r="C117" s="52" t="s">
        <v>101</v>
      </c>
      <c r="D117" s="50" t="n">
        <v>10</v>
      </c>
      <c r="E117" s="26" t="n">
        <f aca="false">D117*$E$1</f>
        <v>430</v>
      </c>
      <c r="H117" s="8"/>
      <c r="N117" s="9"/>
      <c r="O117" s="9"/>
      <c r="U117" s="99"/>
    </row>
    <row r="118" customFormat="false" ht="12.75" hidden="false" customHeight="true" outlineLevel="0" collapsed="false">
      <c r="A118" s="100"/>
      <c r="B118" s="13"/>
      <c r="C118" s="60" t="s">
        <v>110</v>
      </c>
      <c r="D118" s="67" t="n">
        <v>25</v>
      </c>
      <c r="E118" s="26" t="n">
        <f aca="false">D118*$E$1</f>
        <v>1075</v>
      </c>
      <c r="H118" s="8"/>
      <c r="N118" s="9"/>
      <c r="O118" s="9"/>
      <c r="U118" s="99"/>
    </row>
    <row r="119" customFormat="false" ht="12.75" hidden="false" customHeight="true" outlineLevel="0" collapsed="false">
      <c r="A119" s="100"/>
      <c r="B119" s="13"/>
      <c r="C119" s="36" t="s">
        <v>104</v>
      </c>
      <c r="D119" s="50" t="n">
        <v>69</v>
      </c>
      <c r="E119" s="26" t="n">
        <f aca="false">D119*$E$1</f>
        <v>2967</v>
      </c>
      <c r="H119" s="8"/>
      <c r="N119" s="9"/>
      <c r="O119" s="9"/>
      <c r="U119" s="99"/>
    </row>
    <row r="120" customFormat="false" ht="12.75" hidden="false" customHeight="true" outlineLevel="0" collapsed="false">
      <c r="A120" s="100"/>
      <c r="B120" s="13"/>
      <c r="C120" s="60" t="s">
        <v>26</v>
      </c>
      <c r="D120" s="67" t="n">
        <v>30</v>
      </c>
      <c r="E120" s="26" t="n">
        <f aca="false">D120*$E$1</f>
        <v>1290</v>
      </c>
      <c r="H120" s="8"/>
      <c r="N120" s="9"/>
      <c r="O120" s="9"/>
      <c r="U120" s="99"/>
    </row>
    <row r="121" customFormat="false" ht="12.75" hidden="false" customHeight="true" outlineLevel="0" collapsed="false">
      <c r="A121" s="100"/>
      <c r="B121" s="13"/>
      <c r="C121" s="60" t="s">
        <v>81</v>
      </c>
      <c r="D121" s="67" t="n">
        <v>7</v>
      </c>
      <c r="E121" s="26" t="n">
        <f aca="false">D121*$E$1</f>
        <v>301</v>
      </c>
      <c r="H121" s="8"/>
      <c r="N121" s="9"/>
      <c r="O121" s="9"/>
      <c r="U121" s="99"/>
    </row>
    <row r="122" customFormat="false" ht="12.75" hidden="false" customHeight="true" outlineLevel="0" collapsed="false">
      <c r="A122" s="100"/>
      <c r="B122" s="13"/>
      <c r="C122" s="52"/>
      <c r="D122" s="50"/>
      <c r="E122" s="26"/>
      <c r="H122" s="8"/>
      <c r="N122" s="9"/>
      <c r="O122" s="9"/>
      <c r="U122" s="99"/>
    </row>
    <row r="123" customFormat="false" ht="12.75" hidden="false" customHeight="true" outlineLevel="0" collapsed="false">
      <c r="A123" s="100"/>
      <c r="B123" s="13"/>
      <c r="C123" s="89"/>
      <c r="D123" s="119"/>
      <c r="E123" s="26"/>
      <c r="H123" s="8"/>
      <c r="N123" s="9"/>
      <c r="O123" s="9"/>
      <c r="U123" s="99"/>
    </row>
    <row r="124" customFormat="false" ht="12.75" hidden="false" customHeight="true" outlineLevel="0" collapsed="false">
      <c r="A124" s="100"/>
      <c r="B124" s="13"/>
      <c r="C124" s="93"/>
      <c r="D124" s="5"/>
      <c r="E124" s="120"/>
      <c r="H124" s="8"/>
      <c r="N124" s="9"/>
      <c r="O124" s="9"/>
      <c r="U124" s="99"/>
    </row>
    <row r="125" customFormat="false" ht="12.75" hidden="false" customHeight="true" outlineLevel="0" collapsed="false">
      <c r="A125" s="100"/>
      <c r="B125" s="13" t="s">
        <v>3</v>
      </c>
      <c r="C125" s="121" t="s">
        <v>85</v>
      </c>
      <c r="D125" s="122" t="n">
        <v>100</v>
      </c>
      <c r="E125" s="16" t="n">
        <f aca="false">D125*$E$1</f>
        <v>4300</v>
      </c>
      <c r="H125" s="8"/>
      <c r="N125" s="9"/>
      <c r="O125" s="9"/>
      <c r="U125" s="99"/>
    </row>
    <row r="126" customFormat="false" ht="12.75" hidden="false" customHeight="true" outlineLevel="0" collapsed="false">
      <c r="A126" s="100"/>
      <c r="B126" s="13"/>
      <c r="C126" s="52" t="s">
        <v>124</v>
      </c>
      <c r="D126" s="118" t="n">
        <v>120</v>
      </c>
      <c r="E126" s="26" t="n">
        <f aca="false">D126*$E$1</f>
        <v>5160</v>
      </c>
      <c r="H126" s="8"/>
      <c r="N126" s="9"/>
      <c r="O126" s="9"/>
      <c r="U126" s="99"/>
    </row>
    <row r="127" customFormat="false" ht="12.75" hidden="false" customHeight="true" outlineLevel="0" collapsed="false">
      <c r="A127" s="100"/>
      <c r="B127" s="13"/>
      <c r="C127" s="27" t="s">
        <v>18</v>
      </c>
      <c r="D127" s="28" t="n">
        <v>5</v>
      </c>
      <c r="E127" s="26" t="n">
        <f aca="false">D127*$E$1</f>
        <v>215</v>
      </c>
      <c r="H127" s="8"/>
      <c r="N127" s="9"/>
      <c r="O127" s="9"/>
      <c r="U127" s="99"/>
    </row>
    <row r="128" customFormat="false" ht="12.75" hidden="false" customHeight="true" outlineLevel="0" collapsed="false">
      <c r="A128" s="100"/>
      <c r="B128" s="13"/>
      <c r="C128" s="89" t="s">
        <v>14</v>
      </c>
      <c r="D128" s="28" t="n">
        <v>40</v>
      </c>
      <c r="E128" s="26" t="n">
        <f aca="false">D128*$E$1</f>
        <v>1720</v>
      </c>
      <c r="H128" s="8"/>
      <c r="I128" s="9"/>
      <c r="N128" s="9"/>
      <c r="O128" s="9"/>
      <c r="U128" s="99"/>
    </row>
    <row r="129" customFormat="false" ht="12.75" hidden="false" customHeight="true" outlineLevel="0" collapsed="false">
      <c r="A129" s="100"/>
      <c r="B129" s="13"/>
      <c r="C129" s="62" t="s">
        <v>99</v>
      </c>
      <c r="D129" s="28" t="n">
        <v>69</v>
      </c>
      <c r="E129" s="26" t="n">
        <f aca="false">D129*$E$1</f>
        <v>2967</v>
      </c>
      <c r="H129" s="8"/>
      <c r="N129" s="9"/>
      <c r="O129" s="9"/>
      <c r="U129" s="99"/>
    </row>
    <row r="130" customFormat="false" ht="12.75" hidden="false" customHeight="true" outlineLevel="0" collapsed="false">
      <c r="A130" s="100"/>
      <c r="B130" s="13"/>
      <c r="C130" s="62" t="s">
        <v>75</v>
      </c>
      <c r="D130" s="67" t="n">
        <v>20</v>
      </c>
      <c r="E130" s="26" t="n">
        <f aca="false">D130*$E$1</f>
        <v>860</v>
      </c>
      <c r="H130" s="8"/>
      <c r="N130" s="9"/>
      <c r="O130" s="9"/>
      <c r="U130" s="99"/>
    </row>
    <row r="131" customFormat="false" ht="12.75" hidden="false" customHeight="true" outlineLevel="0" collapsed="false">
      <c r="A131" s="100"/>
      <c r="B131" s="13"/>
      <c r="C131" s="60" t="s">
        <v>21</v>
      </c>
      <c r="D131" s="67" t="n">
        <v>20</v>
      </c>
      <c r="E131" s="26" t="n">
        <f aca="false">D131*$E$1</f>
        <v>860</v>
      </c>
      <c r="H131" s="8"/>
      <c r="N131" s="9"/>
      <c r="O131" s="9"/>
      <c r="U131" s="99"/>
    </row>
    <row r="132" customFormat="false" ht="12.75" hidden="false" customHeight="true" outlineLevel="0" collapsed="false">
      <c r="A132" s="100"/>
      <c r="B132" s="13"/>
      <c r="C132" s="60" t="s">
        <v>103</v>
      </c>
      <c r="D132" s="50" t="n">
        <v>20</v>
      </c>
      <c r="E132" s="26" t="n">
        <f aca="false">D132*$E$1</f>
        <v>860</v>
      </c>
      <c r="H132" s="8"/>
      <c r="N132" s="9"/>
      <c r="O132" s="9"/>
      <c r="U132" s="99"/>
    </row>
    <row r="133" customFormat="false" ht="12.75" hidden="false" customHeight="true" outlineLevel="0" collapsed="false">
      <c r="A133" s="100"/>
      <c r="B133" s="13"/>
      <c r="C133" s="123" t="s">
        <v>27</v>
      </c>
      <c r="D133" s="28" t="n">
        <v>50</v>
      </c>
      <c r="E133" s="26" t="n">
        <f aca="false">D133*$E$1</f>
        <v>2150</v>
      </c>
      <c r="H133" s="8"/>
      <c r="N133" s="9"/>
      <c r="O133" s="9"/>
      <c r="U133" s="99"/>
    </row>
    <row r="134" customFormat="false" ht="12.75" hidden="false" customHeight="true" outlineLevel="0" collapsed="false">
      <c r="A134" s="100"/>
      <c r="B134" s="13"/>
      <c r="C134" s="24" t="s">
        <v>32</v>
      </c>
      <c r="D134" s="28" t="n">
        <v>10</v>
      </c>
      <c r="E134" s="26" t="n">
        <f aca="false">D134*$E$1</f>
        <v>430</v>
      </c>
      <c r="H134" s="8"/>
      <c r="N134" s="9"/>
      <c r="O134" s="9"/>
    </row>
    <row r="135" customFormat="false" ht="12.75" hidden="false" customHeight="true" outlineLevel="0" collapsed="false">
      <c r="A135" s="100"/>
      <c r="B135" s="13"/>
      <c r="C135" s="36" t="s">
        <v>29</v>
      </c>
      <c r="D135" s="28" t="n">
        <v>10</v>
      </c>
      <c r="E135" s="26" t="n">
        <f aca="false">D135*$E$1</f>
        <v>430</v>
      </c>
      <c r="H135" s="8"/>
      <c r="N135" s="9"/>
      <c r="O135" s="9"/>
    </row>
    <row r="136" customFormat="false" ht="12.75" hidden="false" customHeight="true" outlineLevel="0" collapsed="false">
      <c r="A136" s="100"/>
      <c r="B136" s="13"/>
      <c r="C136" s="36" t="s">
        <v>40</v>
      </c>
      <c r="D136" s="28" t="n">
        <v>30</v>
      </c>
      <c r="E136" s="26" t="n">
        <f aca="false">D136*$E$1</f>
        <v>1290</v>
      </c>
      <c r="H136" s="8"/>
      <c r="N136" s="9"/>
      <c r="O136" s="9"/>
    </row>
    <row r="137" customFormat="false" ht="12.75" hidden="false" customHeight="true" outlineLevel="0" collapsed="false">
      <c r="A137" s="100"/>
      <c r="B137" s="13"/>
      <c r="C137" s="27" t="s">
        <v>34</v>
      </c>
      <c r="D137" s="50" t="n">
        <v>3</v>
      </c>
      <c r="E137" s="26" t="n">
        <f aca="false">D137*$E$1</f>
        <v>129</v>
      </c>
      <c r="H137" s="8"/>
      <c r="N137" s="9"/>
      <c r="O137" s="9"/>
    </row>
    <row r="138" customFormat="false" ht="12.75" hidden="false" customHeight="true" outlineLevel="0" collapsed="false">
      <c r="A138" s="100"/>
      <c r="B138" s="13"/>
      <c r="C138" s="62" t="s">
        <v>44</v>
      </c>
      <c r="D138" s="28" t="n">
        <v>10</v>
      </c>
      <c r="E138" s="26" t="n">
        <f aca="false">D138*$E$1</f>
        <v>430</v>
      </c>
      <c r="H138" s="8"/>
      <c r="N138" s="9"/>
      <c r="O138" s="9"/>
    </row>
    <row r="139" customFormat="false" ht="12.75" hidden="false" customHeight="true" outlineLevel="0" collapsed="false">
      <c r="A139" s="100"/>
      <c r="B139" s="13"/>
      <c r="C139" s="124"/>
      <c r="D139" s="50"/>
      <c r="E139" s="26"/>
      <c r="H139" s="8"/>
      <c r="N139" s="9"/>
      <c r="O139" s="9"/>
    </row>
    <row r="140" customFormat="false" ht="12.75" hidden="false" customHeight="true" outlineLevel="0" collapsed="false">
      <c r="A140" s="100"/>
      <c r="B140" s="13"/>
      <c r="C140" s="60"/>
      <c r="D140" s="67"/>
      <c r="E140" s="83"/>
      <c r="H140" s="8"/>
      <c r="N140" s="9"/>
      <c r="O140" s="9"/>
    </row>
    <row r="141" customFormat="false" ht="12.75" hidden="false" customHeight="true" outlineLevel="0" collapsed="false">
      <c r="A141" s="100"/>
      <c r="B141" s="13"/>
      <c r="C141" s="60"/>
      <c r="D141" s="67"/>
      <c r="E141" s="83"/>
      <c r="H141" s="8"/>
      <c r="N141" s="9"/>
      <c r="O141" s="9"/>
    </row>
    <row r="142" customFormat="false" ht="12.75" hidden="false" customHeight="true" outlineLevel="0" collapsed="false">
      <c r="A142" s="100" t="s">
        <v>145</v>
      </c>
      <c r="B142" s="125" t="s">
        <v>146</v>
      </c>
      <c r="C142" s="74" t="s">
        <v>109</v>
      </c>
      <c r="D142" s="75" t="n">
        <v>75</v>
      </c>
      <c r="E142" s="16" t="n">
        <f aca="false">D142*$E$1</f>
        <v>3225</v>
      </c>
      <c r="H142" s="8"/>
      <c r="N142" s="9"/>
      <c r="O142" s="9"/>
    </row>
    <row r="143" customFormat="false" ht="12.75" hidden="false" customHeight="true" outlineLevel="0" collapsed="false">
      <c r="A143" s="100"/>
      <c r="B143" s="125"/>
      <c r="C143" s="62" t="s">
        <v>44</v>
      </c>
      <c r="D143" s="28" t="n">
        <v>10</v>
      </c>
      <c r="E143" s="26" t="n">
        <f aca="false">D143*$E$1</f>
        <v>430</v>
      </c>
      <c r="H143" s="8"/>
      <c r="N143" s="9"/>
      <c r="O143" s="9"/>
    </row>
    <row r="144" customFormat="false" ht="12.75" hidden="false" customHeight="true" outlineLevel="0" collapsed="false">
      <c r="A144" s="100"/>
      <c r="B144" s="125"/>
      <c r="C144" s="60" t="s">
        <v>47</v>
      </c>
      <c r="D144" s="28" t="n">
        <v>20</v>
      </c>
      <c r="E144" s="26" t="n">
        <f aca="false">D144*$E$1</f>
        <v>860</v>
      </c>
      <c r="H144" s="8"/>
      <c r="N144" s="9"/>
      <c r="O144" s="9"/>
    </row>
    <row r="145" customFormat="false" ht="12.75" hidden="false" customHeight="true" outlineLevel="0" collapsed="false">
      <c r="A145" s="100"/>
      <c r="B145" s="125"/>
      <c r="C145" s="60" t="s">
        <v>59</v>
      </c>
      <c r="D145" s="67" t="n">
        <v>10</v>
      </c>
      <c r="E145" s="26" t="n">
        <f aca="false">D145*$E$1</f>
        <v>430</v>
      </c>
      <c r="H145" s="8"/>
      <c r="N145" s="9"/>
      <c r="O145" s="9"/>
    </row>
    <row r="146" customFormat="false" ht="12.75" hidden="false" customHeight="true" outlineLevel="0" collapsed="false">
      <c r="A146" s="100"/>
      <c r="B146" s="125"/>
      <c r="C146" s="60" t="s">
        <v>63</v>
      </c>
      <c r="D146" s="28" t="n">
        <v>10</v>
      </c>
      <c r="E146" s="26" t="n">
        <f aca="false">D146*$E$1</f>
        <v>430</v>
      </c>
      <c r="H146" s="8"/>
      <c r="N146" s="9"/>
      <c r="O146" s="9"/>
    </row>
    <row r="147" customFormat="false" ht="12.75" hidden="false" customHeight="true" outlineLevel="0" collapsed="false">
      <c r="A147" s="100"/>
      <c r="B147" s="125"/>
      <c r="C147" s="60" t="s">
        <v>84</v>
      </c>
      <c r="D147" s="28" t="n">
        <v>50</v>
      </c>
      <c r="E147" s="26" t="n">
        <f aca="false">D147*$E$1</f>
        <v>2150</v>
      </c>
      <c r="H147" s="8"/>
      <c r="N147" s="9"/>
      <c r="O147" s="9"/>
    </row>
    <row r="148" customFormat="false" ht="12.75" hidden="false" customHeight="true" outlineLevel="0" collapsed="false">
      <c r="A148" s="100"/>
      <c r="B148" s="125"/>
      <c r="C148" s="60" t="s">
        <v>108</v>
      </c>
      <c r="D148" s="28" t="n">
        <v>50</v>
      </c>
      <c r="E148" s="26" t="n">
        <f aca="false">D148*$E$1</f>
        <v>2150</v>
      </c>
      <c r="H148" s="8"/>
      <c r="N148" s="9"/>
      <c r="O148" s="9"/>
    </row>
    <row r="149" customFormat="false" ht="12.75" hidden="false" customHeight="true" outlineLevel="0" collapsed="false">
      <c r="A149" s="100"/>
      <c r="B149" s="125"/>
      <c r="C149" s="60" t="s">
        <v>147</v>
      </c>
      <c r="D149" s="50" t="n">
        <v>10</v>
      </c>
      <c r="E149" s="26" t="n">
        <f aca="false">D149*$E$1</f>
        <v>430</v>
      </c>
      <c r="H149" s="8"/>
      <c r="N149" s="9"/>
      <c r="O149" s="9"/>
    </row>
    <row r="150" customFormat="false" ht="12.75" hidden="false" customHeight="true" outlineLevel="0" collapsed="false">
      <c r="A150" s="100"/>
      <c r="B150" s="125"/>
      <c r="C150" s="126" t="s">
        <v>64</v>
      </c>
      <c r="D150" s="79" t="n">
        <v>1</v>
      </c>
      <c r="E150" s="80" t="n">
        <f aca="false">D150*$E$1</f>
        <v>43</v>
      </c>
      <c r="H150" s="8"/>
      <c r="N150" s="9"/>
      <c r="O150" s="9"/>
    </row>
    <row r="151" customFormat="false" ht="12.75" hidden="false" customHeight="true" outlineLevel="0" collapsed="false">
      <c r="A151" s="100"/>
      <c r="B151" s="125"/>
      <c r="C151" s="36" t="s">
        <v>130</v>
      </c>
      <c r="D151" s="67" t="n">
        <v>5</v>
      </c>
      <c r="E151" s="26" t="n">
        <f aca="false">D151*$E$1</f>
        <v>215</v>
      </c>
      <c r="H151" s="8"/>
      <c r="N151" s="9"/>
      <c r="O151" s="9"/>
    </row>
    <row r="152" customFormat="false" ht="12.75" hidden="false" customHeight="true" outlineLevel="0" collapsed="false">
      <c r="A152" s="100"/>
      <c r="B152" s="125"/>
      <c r="C152" s="60" t="s">
        <v>40</v>
      </c>
      <c r="D152" s="67" t="n">
        <v>30</v>
      </c>
      <c r="E152" s="26" t="n">
        <f aca="false">D152*$E$1</f>
        <v>1290</v>
      </c>
      <c r="H152" s="8"/>
      <c r="N152" s="9"/>
      <c r="O152" s="9"/>
    </row>
    <row r="153" customFormat="false" ht="12.75" hidden="false" customHeight="true" outlineLevel="0" collapsed="false">
      <c r="A153" s="100"/>
      <c r="B153" s="125"/>
      <c r="C153" s="36" t="s">
        <v>54</v>
      </c>
      <c r="D153" s="67" t="n">
        <v>3</v>
      </c>
      <c r="E153" s="26" t="n">
        <f aca="false">D153*$E$1</f>
        <v>129</v>
      </c>
      <c r="H153" s="8"/>
      <c r="N153" s="9"/>
      <c r="O153" s="9"/>
    </row>
    <row r="154" customFormat="false" ht="12.75" hidden="false" customHeight="true" outlineLevel="0" collapsed="false">
      <c r="A154" s="100"/>
      <c r="B154" s="125"/>
      <c r="C154" s="27" t="s">
        <v>34</v>
      </c>
      <c r="D154" s="67" t="n">
        <v>1.3</v>
      </c>
      <c r="E154" s="26" t="n">
        <f aca="false">D154*$E$1</f>
        <v>55.9</v>
      </c>
      <c r="H154" s="8"/>
      <c r="N154" s="9"/>
      <c r="O154" s="9"/>
    </row>
    <row r="155" customFormat="false" ht="12.75" hidden="false" customHeight="true" outlineLevel="0" collapsed="false">
      <c r="A155" s="100"/>
      <c r="B155" s="125"/>
      <c r="C155" s="60" t="s">
        <v>57</v>
      </c>
      <c r="D155" s="67" t="n">
        <v>2</v>
      </c>
      <c r="E155" s="26" t="n">
        <f aca="false">D155*$E$1</f>
        <v>86</v>
      </c>
      <c r="H155" s="8"/>
      <c r="N155" s="9"/>
      <c r="O155" s="9"/>
    </row>
    <row r="156" customFormat="false" ht="12.75" hidden="false" customHeight="true" outlineLevel="0" collapsed="false">
      <c r="A156" s="100"/>
      <c r="B156" s="125"/>
      <c r="C156" s="60" t="s">
        <v>38</v>
      </c>
      <c r="D156" s="67" t="n">
        <v>5</v>
      </c>
      <c r="E156" s="26" t="n">
        <f aca="false">D156*$E$1</f>
        <v>215</v>
      </c>
      <c r="H156" s="8"/>
      <c r="N156" s="9"/>
      <c r="O156" s="9"/>
    </row>
    <row r="157" customFormat="false" ht="12.75" hidden="false" customHeight="true" outlineLevel="0" collapsed="false">
      <c r="A157" s="100"/>
      <c r="B157" s="125"/>
      <c r="C157" s="77" t="s">
        <v>77</v>
      </c>
      <c r="D157" s="67" t="n">
        <v>5</v>
      </c>
      <c r="E157" s="26" t="n">
        <f aca="false">D157*$E$1</f>
        <v>215</v>
      </c>
      <c r="H157" s="8"/>
      <c r="N157" s="9"/>
      <c r="O157" s="9"/>
    </row>
    <row r="158" customFormat="false" ht="12.75" hidden="false" customHeight="true" outlineLevel="0" collapsed="false">
      <c r="A158" s="100"/>
      <c r="B158" s="125"/>
      <c r="C158" s="60" t="s">
        <v>26</v>
      </c>
      <c r="D158" s="67" t="n">
        <v>10</v>
      </c>
      <c r="E158" s="26" t="n">
        <f aca="false">D158*$E$1</f>
        <v>430</v>
      </c>
      <c r="H158" s="8"/>
      <c r="N158" s="9"/>
      <c r="O158" s="9"/>
    </row>
    <row r="159" customFormat="false" ht="12.75" hidden="false" customHeight="true" outlineLevel="0" collapsed="false">
      <c r="A159" s="100"/>
      <c r="B159" s="125"/>
      <c r="C159" s="60" t="s">
        <v>81</v>
      </c>
      <c r="D159" s="67" t="n">
        <v>5</v>
      </c>
      <c r="E159" s="26" t="n">
        <f aca="false">D159*$E$1</f>
        <v>215</v>
      </c>
      <c r="H159" s="8"/>
      <c r="N159" s="9"/>
      <c r="O159" s="9"/>
    </row>
    <row r="160" customFormat="false" ht="12.75" hidden="false" customHeight="true" outlineLevel="0" collapsed="false">
      <c r="A160" s="100"/>
      <c r="B160" s="125"/>
      <c r="C160" s="60"/>
      <c r="D160" s="67"/>
      <c r="E160" s="26"/>
      <c r="H160" s="8"/>
      <c r="N160" s="9"/>
      <c r="O160" s="9"/>
    </row>
    <row r="161" customFormat="false" ht="12.75" hidden="false" customHeight="true" outlineLevel="0" collapsed="false">
      <c r="A161" s="100"/>
      <c r="B161" s="125"/>
      <c r="C161" s="60"/>
      <c r="D161" s="67"/>
      <c r="E161" s="26"/>
      <c r="H161" s="8"/>
      <c r="N161" s="9"/>
      <c r="O161" s="9"/>
    </row>
    <row r="162" customFormat="false" ht="12.75" hidden="false" customHeight="true" outlineLevel="0" collapsed="false">
      <c r="A162" s="100"/>
      <c r="B162" s="125"/>
      <c r="C162" s="60"/>
      <c r="D162" s="67"/>
      <c r="E162" s="26"/>
      <c r="H162" s="8"/>
      <c r="N162" s="9"/>
      <c r="O162" s="9"/>
    </row>
    <row r="163" customFormat="false" ht="12.75" hidden="false" customHeight="true" outlineLevel="0" collapsed="false">
      <c r="A163" s="100"/>
      <c r="B163" s="125"/>
      <c r="C163" s="69"/>
      <c r="D163" s="70"/>
      <c r="E163" s="71"/>
      <c r="H163" s="8"/>
      <c r="N163" s="9"/>
      <c r="O163" s="9"/>
    </row>
    <row r="164" customFormat="false" ht="12.75" hidden="false" customHeight="true" outlineLevel="0" collapsed="false">
      <c r="A164" s="100"/>
      <c r="B164" s="13" t="s">
        <v>89</v>
      </c>
      <c r="C164" s="121" t="s">
        <v>4</v>
      </c>
      <c r="D164" s="122" t="n">
        <v>80</v>
      </c>
      <c r="E164" s="16" t="n">
        <f aca="false">D164*$E$1</f>
        <v>3440</v>
      </c>
      <c r="H164" s="8"/>
      <c r="N164" s="9"/>
      <c r="O164" s="9"/>
    </row>
    <row r="165" customFormat="false" ht="12.75" hidden="false" customHeight="true" outlineLevel="0" collapsed="false">
      <c r="A165" s="100"/>
      <c r="B165" s="13"/>
      <c r="C165" s="52" t="s">
        <v>124</v>
      </c>
      <c r="D165" s="118" t="n">
        <v>120</v>
      </c>
      <c r="E165" s="26" t="n">
        <f aca="false">D165*$E$1</f>
        <v>5160</v>
      </c>
      <c r="H165" s="8"/>
      <c r="N165" s="9"/>
      <c r="O165" s="9"/>
    </row>
    <row r="166" customFormat="false" ht="12.75" hidden="false" customHeight="true" outlineLevel="0" collapsed="false">
      <c r="A166" s="100"/>
      <c r="B166" s="13"/>
      <c r="C166" s="27" t="s">
        <v>18</v>
      </c>
      <c r="D166" s="28" t="n">
        <v>5</v>
      </c>
      <c r="E166" s="26" t="n">
        <f aca="false">D166*$E$1</f>
        <v>215</v>
      </c>
      <c r="H166" s="8"/>
      <c r="N166" s="9"/>
      <c r="O166" s="9"/>
    </row>
    <row r="167" customFormat="false" ht="12.75" hidden="false" customHeight="true" outlineLevel="0" collapsed="false">
      <c r="A167" s="100"/>
      <c r="B167" s="13"/>
      <c r="C167" s="89" t="s">
        <v>90</v>
      </c>
      <c r="D167" s="28" t="n">
        <v>10</v>
      </c>
      <c r="E167" s="26" t="n">
        <f aca="false">D167*$E$1</f>
        <v>430</v>
      </c>
      <c r="H167" s="8"/>
      <c r="N167" s="9"/>
      <c r="O167" s="9"/>
    </row>
    <row r="168" customFormat="false" ht="12.75" hidden="false" customHeight="true" outlineLevel="0" collapsed="false">
      <c r="A168" s="100"/>
      <c r="B168" s="13"/>
      <c r="C168" s="60" t="s">
        <v>94</v>
      </c>
      <c r="D168" s="67" t="n">
        <v>30</v>
      </c>
      <c r="E168" s="26" t="n">
        <f aca="false">D168*$E$1</f>
        <v>1290</v>
      </c>
      <c r="H168" s="8"/>
      <c r="N168" s="9"/>
      <c r="O168" s="9"/>
    </row>
    <row r="169" customFormat="false" ht="12.75" hidden="false" customHeight="true" outlineLevel="0" collapsed="false">
      <c r="A169" s="100"/>
      <c r="B169" s="13"/>
      <c r="C169" s="60" t="s">
        <v>14</v>
      </c>
      <c r="D169" s="50" t="n">
        <v>30</v>
      </c>
      <c r="E169" s="26" t="n">
        <f aca="false">D169*$E$1</f>
        <v>1290</v>
      </c>
      <c r="H169" s="8"/>
      <c r="N169" s="9"/>
      <c r="O169" s="9"/>
    </row>
    <row r="170" customFormat="false" ht="12.75" hidden="false" customHeight="true" outlineLevel="0" collapsed="false">
      <c r="A170" s="100"/>
      <c r="B170" s="13"/>
      <c r="C170" s="60" t="s">
        <v>70</v>
      </c>
      <c r="D170" s="67" t="n">
        <v>8</v>
      </c>
      <c r="E170" s="26" t="n">
        <f aca="false">D170*$E$1</f>
        <v>344</v>
      </c>
      <c r="H170" s="8"/>
      <c r="N170" s="9"/>
      <c r="O170" s="9"/>
    </row>
    <row r="171" customFormat="false" ht="12.75" hidden="false" customHeight="true" outlineLevel="0" collapsed="false">
      <c r="A171" s="100"/>
      <c r="B171" s="13"/>
      <c r="C171" s="52" t="s">
        <v>29</v>
      </c>
      <c r="D171" s="28" t="n">
        <v>40</v>
      </c>
      <c r="E171" s="26" t="n">
        <f aca="false">D171*$E$1</f>
        <v>1720</v>
      </c>
      <c r="H171" s="8"/>
      <c r="N171" s="9"/>
      <c r="O171" s="9"/>
    </row>
    <row r="172" customFormat="false" ht="12.75" hidden="false" customHeight="true" outlineLevel="0" collapsed="false">
      <c r="A172" s="100"/>
      <c r="B172" s="13"/>
      <c r="C172" s="89" t="s">
        <v>30</v>
      </c>
      <c r="D172" s="28" t="n">
        <v>30</v>
      </c>
      <c r="E172" s="26" t="n">
        <f aca="false">D172*$E$1</f>
        <v>1290</v>
      </c>
      <c r="H172" s="8"/>
      <c r="N172" s="9"/>
      <c r="O172" s="9"/>
    </row>
    <row r="173" customFormat="false" ht="12.75" hidden="false" customHeight="true" outlineLevel="0" collapsed="false">
      <c r="A173" s="100"/>
      <c r="B173" s="13"/>
      <c r="C173" s="52" t="s">
        <v>65</v>
      </c>
      <c r="D173" s="28" t="n">
        <v>40</v>
      </c>
      <c r="E173" s="26" t="n">
        <f aca="false">D173*$E$1</f>
        <v>1720</v>
      </c>
      <c r="H173" s="8"/>
      <c r="N173" s="9"/>
      <c r="O173" s="9"/>
    </row>
    <row r="174" customFormat="false" ht="12.75" hidden="false" customHeight="true" outlineLevel="0" collapsed="false">
      <c r="A174" s="100"/>
      <c r="B174" s="13"/>
      <c r="C174" s="60" t="s">
        <v>106</v>
      </c>
      <c r="D174" s="28" t="n">
        <v>10</v>
      </c>
      <c r="E174" s="26" t="n">
        <f aca="false">D174*$E$1</f>
        <v>430</v>
      </c>
      <c r="H174" s="8"/>
      <c r="N174" s="9"/>
      <c r="O174" s="9"/>
    </row>
    <row r="175" customFormat="false" ht="12.75" hidden="false" customHeight="true" outlineLevel="0" collapsed="false">
      <c r="A175" s="100"/>
      <c r="B175" s="13"/>
      <c r="C175" s="89" t="s">
        <v>108</v>
      </c>
      <c r="D175" s="28" t="n">
        <v>20</v>
      </c>
      <c r="E175" s="26" t="n">
        <f aca="false">D175*$E$1</f>
        <v>860</v>
      </c>
      <c r="H175" s="8"/>
      <c r="N175" s="9"/>
      <c r="O175" s="9"/>
    </row>
    <row r="176" customFormat="false" ht="12.75" hidden="false" customHeight="true" outlineLevel="0" collapsed="false">
      <c r="A176" s="100"/>
      <c r="B176" s="13"/>
      <c r="C176" s="52" t="s">
        <v>101</v>
      </c>
      <c r="D176" s="50" t="n">
        <v>10</v>
      </c>
      <c r="E176" s="26" t="n">
        <f aca="false">D176*$E$1</f>
        <v>430</v>
      </c>
      <c r="H176" s="8"/>
      <c r="N176" s="9"/>
      <c r="O176" s="9"/>
    </row>
    <row r="177" customFormat="false" ht="12.75" hidden="false" customHeight="true" outlineLevel="0" collapsed="false">
      <c r="A177" s="100"/>
      <c r="B177" s="13"/>
      <c r="C177" s="60" t="s">
        <v>110</v>
      </c>
      <c r="D177" s="67" t="n">
        <v>30</v>
      </c>
      <c r="E177" s="26" t="n">
        <f aca="false">D177*$E$1</f>
        <v>1290</v>
      </c>
      <c r="H177" s="8"/>
      <c r="N177" s="9"/>
      <c r="O177" s="9"/>
    </row>
    <row r="178" customFormat="false" ht="12.75" hidden="false" customHeight="true" outlineLevel="0" collapsed="false">
      <c r="A178" s="100"/>
      <c r="B178" s="13"/>
      <c r="C178" s="36" t="s">
        <v>112</v>
      </c>
      <c r="D178" s="50" t="n">
        <v>30</v>
      </c>
      <c r="E178" s="26" t="n">
        <f aca="false">D178*$E$1</f>
        <v>1290</v>
      </c>
      <c r="H178" s="8"/>
      <c r="N178" s="9"/>
      <c r="O178" s="9"/>
    </row>
    <row r="179" customFormat="false" ht="12.75" hidden="false" customHeight="true" outlineLevel="0" collapsed="false">
      <c r="A179" s="100"/>
      <c r="B179" s="13"/>
      <c r="C179" s="60" t="s">
        <v>26</v>
      </c>
      <c r="D179" s="67" t="n">
        <v>30</v>
      </c>
      <c r="E179" s="26" t="n">
        <f aca="false">D179*$E$1</f>
        <v>1290</v>
      </c>
      <c r="H179" s="8"/>
      <c r="N179" s="9"/>
      <c r="O179" s="9"/>
    </row>
    <row r="180" customFormat="false" ht="12.75" hidden="false" customHeight="true" outlineLevel="0" collapsed="false">
      <c r="A180" s="100"/>
      <c r="B180" s="13"/>
      <c r="C180" s="82" t="s">
        <v>73</v>
      </c>
      <c r="D180" s="67" t="n">
        <v>11</v>
      </c>
      <c r="E180" s="26" t="n">
        <f aca="false">D180*$E$1</f>
        <v>473</v>
      </c>
      <c r="H180" s="8"/>
      <c r="N180" s="9"/>
      <c r="O180" s="9"/>
    </row>
    <row r="181" customFormat="false" ht="12.75" hidden="false" customHeight="true" outlineLevel="0" collapsed="false">
      <c r="A181" s="100"/>
      <c r="B181" s="13"/>
      <c r="C181" s="27" t="s">
        <v>24</v>
      </c>
      <c r="D181" s="67" t="n">
        <v>20</v>
      </c>
      <c r="E181" s="26" t="n">
        <f aca="false">D181*$E$1</f>
        <v>860</v>
      </c>
      <c r="H181" s="8"/>
      <c r="N181" s="9"/>
      <c r="O181" s="9"/>
    </row>
    <row r="182" customFormat="false" ht="12.75" hidden="false" customHeight="true" outlineLevel="0" collapsed="false">
      <c r="A182" s="100"/>
      <c r="B182" s="13"/>
      <c r="C182" s="27" t="s">
        <v>117</v>
      </c>
      <c r="D182" s="28" t="n">
        <v>20</v>
      </c>
      <c r="E182" s="26" t="n">
        <f aca="false">D182*$E$1</f>
        <v>860</v>
      </c>
      <c r="H182" s="8"/>
      <c r="N182" s="9"/>
      <c r="O182" s="9"/>
    </row>
    <row r="183" customFormat="false" ht="12.75" hidden="false" customHeight="true" outlineLevel="0" collapsed="false">
      <c r="A183" s="100"/>
      <c r="B183" s="13"/>
      <c r="C183" s="62" t="s">
        <v>44</v>
      </c>
      <c r="D183" s="28" t="n">
        <v>10</v>
      </c>
      <c r="E183" s="26" t="n">
        <f aca="false">D183*$E$1</f>
        <v>430</v>
      </c>
      <c r="H183" s="8"/>
      <c r="N183" s="9"/>
      <c r="O183" s="9"/>
    </row>
    <row r="184" customFormat="false" ht="12.75" hidden="false" customHeight="true" outlineLevel="0" collapsed="false">
      <c r="A184" s="100"/>
      <c r="B184" s="13"/>
      <c r="C184" s="124"/>
      <c r="D184" s="28"/>
      <c r="E184" s="26"/>
      <c r="H184" s="8"/>
      <c r="N184" s="9"/>
      <c r="O184" s="9"/>
    </row>
    <row r="185" customFormat="false" ht="12.75" hidden="false" customHeight="true" outlineLevel="0" collapsed="false">
      <c r="A185" s="100"/>
      <c r="B185" s="13"/>
      <c r="C185" s="124"/>
      <c r="D185" s="28"/>
      <c r="E185" s="26"/>
      <c r="H185" s="8"/>
      <c r="N185" s="9"/>
      <c r="O185" s="9"/>
    </row>
    <row r="186" customFormat="false" ht="12.75" hidden="false" customHeight="true" outlineLevel="0" collapsed="false">
      <c r="A186" s="100"/>
      <c r="B186" s="13"/>
      <c r="C186" s="60"/>
      <c r="D186" s="67"/>
      <c r="E186" s="83"/>
      <c r="H186" s="8"/>
      <c r="N186" s="9"/>
      <c r="O186" s="9"/>
    </row>
    <row r="187" customFormat="false" ht="12.75" hidden="false" customHeight="true" outlineLevel="0" collapsed="false">
      <c r="A187" s="100"/>
      <c r="B187" s="13"/>
      <c r="C187" s="127"/>
      <c r="D187" s="128"/>
      <c r="E187" s="71"/>
      <c r="H187" s="8"/>
      <c r="N187" s="9"/>
      <c r="O187" s="9"/>
    </row>
    <row r="188" customFormat="false" ht="12.75" hidden="false" customHeight="true" outlineLevel="0" collapsed="false">
      <c r="A188" s="129"/>
      <c r="B188" s="129"/>
      <c r="C188" s="130"/>
      <c r="D188" s="130"/>
      <c r="E188" s="130"/>
      <c r="H188" s="8"/>
      <c r="N188" s="9"/>
      <c r="O188" s="9"/>
    </row>
    <row r="189" customFormat="false" ht="12.75" hidden="false" customHeight="true" outlineLevel="0" collapsed="false">
      <c r="A189" s="129"/>
      <c r="B189" s="129"/>
      <c r="C189" s="130"/>
      <c r="D189" s="130"/>
      <c r="E189" s="130"/>
      <c r="H189" s="8"/>
      <c r="N189" s="9"/>
      <c r="O189" s="9"/>
    </row>
    <row r="190" customFormat="false" ht="12.75" hidden="false" customHeight="true" outlineLevel="0" collapsed="false">
      <c r="A190" s="129"/>
      <c r="B190" s="129"/>
      <c r="C190" s="130"/>
      <c r="D190" s="130"/>
      <c r="E190" s="130"/>
      <c r="H190" s="8"/>
      <c r="N190" s="9"/>
      <c r="O190" s="9"/>
    </row>
    <row r="191" customFormat="false" ht="12.75" hidden="false" customHeight="true" outlineLevel="0" collapsed="false">
      <c r="A191" s="129"/>
      <c r="B191" s="129"/>
      <c r="C191" s="130"/>
      <c r="D191" s="130"/>
      <c r="E191" s="130"/>
      <c r="H191" s="8"/>
      <c r="N191" s="9"/>
      <c r="O191" s="9"/>
    </row>
    <row r="192" customFormat="false" ht="12.75" hidden="false" customHeight="true" outlineLevel="0" collapsed="false">
      <c r="A192" s="129"/>
      <c r="B192" s="129"/>
      <c r="C192" s="130"/>
      <c r="D192" s="131"/>
      <c r="E192" s="132"/>
      <c r="H192" s="8"/>
      <c r="N192" s="9"/>
      <c r="O192" s="9"/>
    </row>
    <row r="193" customFormat="false" ht="12.75" hidden="false" customHeight="true" outlineLevel="0" collapsed="false">
      <c r="A193" s="129"/>
      <c r="B193" s="129"/>
      <c r="C193" s="131"/>
      <c r="D193" s="131"/>
      <c r="E193" s="132"/>
      <c r="H193" s="8"/>
      <c r="N193" s="9"/>
      <c r="O193" s="9"/>
    </row>
    <row r="194" customFormat="false" ht="12.75" hidden="false" customHeight="true" outlineLevel="0" collapsed="false">
      <c r="A194" s="129"/>
      <c r="B194" s="129"/>
      <c r="C194" s="133"/>
      <c r="D194" s="131"/>
      <c r="E194" s="132"/>
      <c r="H194" s="8"/>
      <c r="N194" s="9"/>
      <c r="O194" s="9"/>
    </row>
    <row r="195" customFormat="false" ht="12.75" hidden="false" customHeight="true" outlineLevel="0" collapsed="false">
      <c r="A195" s="129"/>
      <c r="B195" s="129"/>
      <c r="C195" s="133"/>
      <c r="D195" s="131"/>
      <c r="E195" s="132"/>
      <c r="H195" s="8"/>
      <c r="N195" s="9"/>
      <c r="O195" s="9"/>
    </row>
    <row r="196" customFormat="false" ht="12.75" hidden="false" customHeight="true" outlineLevel="0" collapsed="false">
      <c r="A196" s="129"/>
      <c r="J196" s="134"/>
      <c r="K196" s="134"/>
      <c r="N196" s="9"/>
      <c r="O196" s="9"/>
    </row>
    <row r="197" customFormat="false" ht="12.75" hidden="false" customHeight="true" outlineLevel="0" collapsed="false">
      <c r="A197" s="129"/>
      <c r="J197" s="134"/>
      <c r="K197" s="134"/>
      <c r="N197" s="9"/>
      <c r="O197" s="9"/>
    </row>
    <row r="198" customFormat="false" ht="12.75" hidden="false" customHeight="true" outlineLevel="0" collapsed="false">
      <c r="A198" s="129"/>
      <c r="J198" s="134"/>
      <c r="K198" s="134"/>
      <c r="N198" s="9"/>
      <c r="O198" s="9"/>
    </row>
    <row r="199" customFormat="false" ht="12.75" hidden="false" customHeight="true" outlineLevel="0" collapsed="false">
      <c r="A199" s="129"/>
      <c r="J199" s="134"/>
      <c r="K199" s="134"/>
      <c r="N199" s="9"/>
      <c r="O199" s="9"/>
    </row>
    <row r="200" customFormat="false" ht="12.75" hidden="false" customHeight="true" outlineLevel="0" collapsed="false">
      <c r="A200" s="129"/>
      <c r="J200" s="134"/>
      <c r="K200" s="134"/>
      <c r="N200" s="9"/>
      <c r="O200" s="9"/>
    </row>
    <row r="201" customFormat="false" ht="12.75" hidden="false" customHeight="true" outlineLevel="0" collapsed="false">
      <c r="A201" s="129"/>
      <c r="J201" s="134"/>
      <c r="K201" s="134"/>
      <c r="N201" s="9"/>
      <c r="O201" s="9"/>
    </row>
    <row r="202" customFormat="false" ht="12.75" hidden="false" customHeight="true" outlineLevel="0" collapsed="false">
      <c r="A202" s="129"/>
      <c r="J202" s="134"/>
      <c r="K202" s="134"/>
      <c r="N202" s="9"/>
      <c r="O202" s="9"/>
    </row>
    <row r="203" customFormat="false" ht="12.75" hidden="false" customHeight="true" outlineLevel="0" collapsed="false">
      <c r="A203" s="129"/>
      <c r="J203" s="134"/>
      <c r="K203" s="134"/>
      <c r="N203" s="9"/>
      <c r="O203" s="9"/>
    </row>
    <row r="204" customFormat="false" ht="12.75" hidden="false" customHeight="true" outlineLevel="0" collapsed="false">
      <c r="A204" s="129"/>
      <c r="J204" s="134"/>
      <c r="K204" s="134"/>
      <c r="N204" s="9"/>
      <c r="O204" s="9"/>
    </row>
    <row r="205" customFormat="false" ht="12.75" hidden="false" customHeight="true" outlineLevel="0" collapsed="false">
      <c r="A205" s="129"/>
      <c r="J205" s="134"/>
      <c r="K205" s="134"/>
      <c r="N205" s="9"/>
      <c r="O205" s="9"/>
    </row>
    <row r="206" customFormat="false" ht="12.75" hidden="false" customHeight="true" outlineLevel="0" collapsed="false">
      <c r="A206" s="129"/>
      <c r="J206" s="134"/>
      <c r="K206" s="134"/>
      <c r="N206" s="9"/>
      <c r="O206" s="9"/>
    </row>
    <row r="207" customFormat="false" ht="12.75" hidden="false" customHeight="true" outlineLevel="0" collapsed="false">
      <c r="A207" s="129"/>
      <c r="J207" s="134"/>
      <c r="K207" s="134"/>
      <c r="N207" s="9"/>
      <c r="O207" s="9"/>
    </row>
    <row r="208" customFormat="false" ht="12.75" hidden="false" customHeight="true" outlineLevel="0" collapsed="false">
      <c r="A208" s="129"/>
      <c r="J208" s="134"/>
      <c r="K208" s="134"/>
      <c r="N208" s="9"/>
      <c r="O208" s="9"/>
    </row>
    <row r="209" customFormat="false" ht="12.75" hidden="false" customHeight="true" outlineLevel="0" collapsed="false">
      <c r="A209" s="129"/>
      <c r="J209" s="134"/>
      <c r="K209" s="134"/>
      <c r="N209" s="9"/>
      <c r="O209" s="9"/>
    </row>
    <row r="210" customFormat="false" ht="12.75" hidden="false" customHeight="true" outlineLevel="0" collapsed="false">
      <c r="A210" s="129"/>
      <c r="J210" s="134"/>
      <c r="K210" s="134"/>
      <c r="N210" s="9"/>
      <c r="O210" s="9"/>
    </row>
    <row r="211" customFormat="false" ht="12.75" hidden="false" customHeight="true" outlineLevel="0" collapsed="false">
      <c r="A211" s="129"/>
      <c r="J211" s="134"/>
      <c r="K211" s="134"/>
      <c r="N211" s="9"/>
      <c r="O211" s="9"/>
    </row>
    <row r="212" customFormat="false" ht="12.75" hidden="false" customHeight="true" outlineLevel="0" collapsed="false">
      <c r="A212" s="129"/>
      <c r="J212" s="134"/>
      <c r="K212" s="134"/>
      <c r="N212" s="9"/>
      <c r="O212" s="9"/>
    </row>
    <row r="213" customFormat="false" ht="12.75" hidden="false" customHeight="true" outlineLevel="0" collapsed="false">
      <c r="A213" s="129"/>
      <c r="J213" s="134"/>
      <c r="K213" s="134"/>
      <c r="N213" s="9"/>
      <c r="O213" s="9"/>
    </row>
    <row r="214" customFormat="false" ht="12.75" hidden="false" customHeight="true" outlineLevel="0" collapsed="false">
      <c r="A214" s="129"/>
      <c r="J214" s="134"/>
      <c r="K214" s="134"/>
      <c r="N214" s="9"/>
      <c r="O214" s="9"/>
    </row>
    <row r="215" customFormat="false" ht="12.75" hidden="false" customHeight="true" outlineLevel="0" collapsed="false">
      <c r="A215" s="129"/>
      <c r="J215" s="134"/>
      <c r="K215" s="134"/>
      <c r="N215" s="9"/>
      <c r="O215" s="9"/>
    </row>
    <row r="216" customFormat="false" ht="12.75" hidden="false" customHeight="true" outlineLevel="0" collapsed="false">
      <c r="A216" s="129"/>
      <c r="J216" s="134"/>
      <c r="K216" s="134"/>
      <c r="N216" s="9"/>
      <c r="O216" s="9"/>
    </row>
    <row r="217" customFormat="false" ht="12.75" hidden="false" customHeight="true" outlineLevel="0" collapsed="false">
      <c r="A217" s="129"/>
      <c r="J217" s="134"/>
      <c r="K217" s="134"/>
      <c r="N217" s="9"/>
      <c r="O217" s="9"/>
    </row>
    <row r="218" customFormat="false" ht="12.75" hidden="false" customHeight="true" outlineLevel="0" collapsed="false">
      <c r="A218" s="129"/>
      <c r="J218" s="134"/>
      <c r="K218" s="134"/>
      <c r="N218" s="9"/>
      <c r="O218" s="9"/>
    </row>
    <row r="219" customFormat="false" ht="12.75" hidden="false" customHeight="true" outlineLevel="0" collapsed="false">
      <c r="A219" s="129"/>
      <c r="J219" s="134"/>
      <c r="K219" s="134"/>
      <c r="N219" s="9"/>
      <c r="O219" s="9"/>
    </row>
    <row r="220" customFormat="false" ht="12.75" hidden="false" customHeight="true" outlineLevel="0" collapsed="false">
      <c r="A220" s="129"/>
      <c r="J220" s="134"/>
      <c r="K220" s="134"/>
      <c r="N220" s="9"/>
      <c r="O220" s="9"/>
    </row>
    <row r="221" customFormat="false" ht="12.75" hidden="false" customHeight="true" outlineLevel="0" collapsed="false">
      <c r="A221" s="129"/>
      <c r="J221" s="134"/>
      <c r="K221" s="134"/>
      <c r="N221" s="9"/>
      <c r="O221" s="9"/>
    </row>
    <row r="222" customFormat="false" ht="12.75" hidden="false" customHeight="true" outlineLevel="0" collapsed="false">
      <c r="A222" s="129"/>
      <c r="J222" s="134"/>
      <c r="K222" s="134"/>
      <c r="N222" s="9"/>
      <c r="O222" s="9"/>
    </row>
    <row r="223" customFormat="false" ht="12.75" hidden="false" customHeight="true" outlineLevel="0" collapsed="false">
      <c r="A223" s="129"/>
      <c r="J223" s="134"/>
      <c r="K223" s="134"/>
      <c r="N223" s="9"/>
      <c r="O223" s="9"/>
    </row>
    <row r="224" customFormat="false" ht="12.75" hidden="false" customHeight="true" outlineLevel="0" collapsed="false">
      <c r="A224" s="129"/>
      <c r="J224" s="134"/>
      <c r="K224" s="134"/>
      <c r="N224" s="9"/>
      <c r="O224" s="9"/>
    </row>
    <row r="225" customFormat="false" ht="12.75" hidden="false" customHeight="true" outlineLevel="0" collapsed="false">
      <c r="A225" s="129"/>
      <c r="J225" s="134"/>
      <c r="K225" s="134"/>
      <c r="N225" s="9"/>
      <c r="O225" s="9"/>
    </row>
    <row r="226" customFormat="false" ht="12.75" hidden="false" customHeight="true" outlineLevel="0" collapsed="false">
      <c r="A226" s="129"/>
      <c r="J226" s="134"/>
      <c r="K226" s="134"/>
      <c r="N226" s="9"/>
      <c r="O226" s="9"/>
    </row>
    <row r="227" customFormat="false" ht="12.75" hidden="false" customHeight="true" outlineLevel="0" collapsed="false">
      <c r="A227" s="129"/>
      <c r="J227" s="134"/>
      <c r="K227" s="134"/>
      <c r="N227" s="9"/>
      <c r="O227" s="9"/>
    </row>
    <row r="228" customFormat="false" ht="12.75" hidden="false" customHeight="true" outlineLevel="0" collapsed="false">
      <c r="A228" s="129"/>
      <c r="J228" s="134"/>
      <c r="K228" s="134"/>
      <c r="N228" s="9"/>
      <c r="O228" s="9"/>
    </row>
    <row r="229" customFormat="false" ht="12.75" hidden="false" customHeight="true" outlineLevel="0" collapsed="false">
      <c r="A229" s="129"/>
      <c r="J229" s="134"/>
      <c r="K229" s="134"/>
      <c r="N229" s="9"/>
      <c r="O229" s="9"/>
    </row>
    <row r="230" customFormat="false" ht="12.75" hidden="false" customHeight="true" outlineLevel="0" collapsed="false">
      <c r="A230" s="129"/>
      <c r="J230" s="134"/>
      <c r="K230" s="134"/>
      <c r="N230" s="9"/>
      <c r="O230" s="9"/>
    </row>
    <row r="231" customFormat="false" ht="12.75" hidden="false" customHeight="true" outlineLevel="0" collapsed="false">
      <c r="A231" s="129"/>
      <c r="J231" s="134"/>
      <c r="K231" s="134"/>
      <c r="N231" s="9"/>
      <c r="O231" s="9"/>
    </row>
    <row r="232" customFormat="false" ht="12.75" hidden="false" customHeight="true" outlineLevel="0" collapsed="false">
      <c r="A232" s="129"/>
      <c r="J232" s="134"/>
      <c r="K232" s="134"/>
      <c r="N232" s="9"/>
      <c r="O232" s="9"/>
    </row>
    <row r="233" customFormat="false" ht="12.75" hidden="false" customHeight="true" outlineLevel="0" collapsed="false">
      <c r="A233" s="129"/>
      <c r="J233" s="134"/>
      <c r="K233" s="134"/>
      <c r="N233" s="9"/>
      <c r="O233" s="9"/>
    </row>
    <row r="234" customFormat="false" ht="12.75" hidden="false" customHeight="true" outlineLevel="0" collapsed="false">
      <c r="A234" s="129"/>
      <c r="J234" s="134"/>
      <c r="K234" s="134"/>
      <c r="N234" s="9"/>
      <c r="O234" s="9"/>
    </row>
    <row r="235" customFormat="false" ht="15.75" hidden="false" customHeight="true" outlineLevel="0" collapsed="false">
      <c r="A235" s="129"/>
      <c r="J235" s="134"/>
      <c r="K235" s="134"/>
      <c r="N235" s="9"/>
      <c r="O235" s="9"/>
    </row>
    <row r="236" customFormat="false" ht="15.75" hidden="false" customHeight="true" outlineLevel="0" collapsed="false">
      <c r="A236" s="129"/>
      <c r="J236" s="134"/>
      <c r="K236" s="134"/>
      <c r="N236" s="9"/>
      <c r="O236" s="9"/>
    </row>
    <row r="237" customFormat="false" ht="15.75" hidden="false" customHeight="true" outlineLevel="0" collapsed="false">
      <c r="A237" s="129"/>
      <c r="J237" s="134"/>
      <c r="K237" s="134"/>
      <c r="N237" s="9"/>
      <c r="O237" s="9"/>
    </row>
    <row r="238" customFormat="false" ht="15.75" hidden="false" customHeight="true" outlineLevel="0" collapsed="false">
      <c r="A238" s="129"/>
      <c r="J238" s="134"/>
      <c r="K238" s="134"/>
      <c r="N238" s="9"/>
      <c r="O238" s="9"/>
    </row>
    <row r="239" customFormat="false" ht="15.75" hidden="false" customHeight="true" outlineLevel="0" collapsed="false">
      <c r="A239" s="129"/>
      <c r="J239" s="134"/>
      <c r="K239" s="134"/>
      <c r="N239" s="9"/>
      <c r="O239" s="9"/>
    </row>
    <row r="240" customFormat="false" ht="15.75" hidden="false" customHeight="true" outlineLevel="0" collapsed="false">
      <c r="A240" s="129"/>
      <c r="J240" s="134"/>
      <c r="K240" s="134"/>
      <c r="N240" s="9"/>
      <c r="O240" s="9"/>
    </row>
    <row r="241" customFormat="false" ht="15.75" hidden="false" customHeight="true" outlineLevel="0" collapsed="false">
      <c r="A241" s="129"/>
      <c r="J241" s="134"/>
      <c r="K241" s="134"/>
      <c r="N241" s="9"/>
      <c r="O241" s="9"/>
    </row>
    <row r="242" customFormat="false" ht="15.75" hidden="false" customHeight="true" outlineLevel="0" collapsed="false">
      <c r="A242" s="129"/>
      <c r="J242" s="134"/>
      <c r="K242" s="134"/>
      <c r="N242" s="9"/>
      <c r="O242" s="9"/>
    </row>
    <row r="243" customFormat="false" ht="15.75" hidden="false" customHeight="true" outlineLevel="0" collapsed="false">
      <c r="A243" s="129"/>
      <c r="J243" s="134"/>
      <c r="K243" s="134"/>
      <c r="N243" s="9"/>
      <c r="O243" s="9"/>
    </row>
    <row r="244" customFormat="false" ht="15.75" hidden="false" customHeight="true" outlineLevel="0" collapsed="false">
      <c r="A244" s="129"/>
      <c r="J244" s="134"/>
      <c r="K244" s="134"/>
      <c r="N244" s="9"/>
      <c r="O244" s="9"/>
    </row>
    <row r="245" customFormat="false" ht="15.75" hidden="false" customHeight="true" outlineLevel="0" collapsed="false">
      <c r="A245" s="129"/>
      <c r="J245" s="134"/>
      <c r="K245" s="134"/>
      <c r="N245" s="9"/>
      <c r="O245" s="9"/>
    </row>
    <row r="246" customFormat="false" ht="15.75" hidden="false" customHeight="true" outlineLevel="0" collapsed="false">
      <c r="A246" s="129"/>
      <c r="J246" s="134"/>
      <c r="K246" s="134"/>
      <c r="N246" s="9"/>
      <c r="O246" s="9"/>
    </row>
    <row r="247" customFormat="false" ht="15.75" hidden="false" customHeight="true" outlineLevel="0" collapsed="false">
      <c r="A247" s="129"/>
      <c r="J247" s="134"/>
      <c r="K247" s="134"/>
    </row>
    <row r="248" customFormat="false" ht="15.75" hidden="false" customHeight="true" outlineLevel="0" collapsed="false">
      <c r="A248" s="129"/>
      <c r="J248" s="134"/>
      <c r="K248" s="134"/>
    </row>
    <row r="249" customFormat="false" ht="15.75" hidden="false" customHeight="true" outlineLevel="0" collapsed="false">
      <c r="A249" s="129"/>
    </row>
    <row r="250" customFormat="false" ht="15.75" hidden="false" customHeight="true" outlineLevel="0" collapsed="false">
      <c r="A250" s="129"/>
      <c r="B250" s="129"/>
      <c r="C250" s="135"/>
    </row>
    <row r="251" customFormat="false" ht="15.75" hidden="false" customHeight="true" outlineLevel="0" collapsed="false">
      <c r="A251" s="129"/>
      <c r="B251" s="129"/>
      <c r="C251" s="135"/>
    </row>
    <row r="252" customFormat="false" ht="15.75" hidden="false" customHeight="true" outlineLevel="0" collapsed="false">
      <c r="B252" s="129"/>
      <c r="C252" s="135"/>
    </row>
    <row r="253" customFormat="false" ht="15.75" hidden="false" customHeight="true" outlineLevel="0" collapsed="false">
      <c r="B253" s="129"/>
      <c r="C253" s="135"/>
    </row>
    <row r="254" customFormat="false" ht="15.75" hidden="false" customHeight="true" outlineLevel="0" collapsed="false">
      <c r="B254" s="129"/>
      <c r="C254" s="135"/>
    </row>
    <row r="255" customFormat="false" ht="15.75" hidden="false" customHeight="true" outlineLevel="0" collapsed="false">
      <c r="B255" s="129"/>
      <c r="C255" s="135"/>
    </row>
    <row r="256" customFormat="false" ht="15.75" hidden="false" customHeight="true" outlineLevel="0" collapsed="false">
      <c r="B256" s="129"/>
      <c r="C256" s="135"/>
    </row>
    <row r="257" customFormat="false" ht="15.75" hidden="false" customHeight="true" outlineLevel="0" collapsed="false">
      <c r="B257" s="129"/>
      <c r="C257" s="135"/>
    </row>
    <row r="258" customFormat="false" ht="15.75" hidden="false" customHeight="true" outlineLevel="0" collapsed="false">
      <c r="B258" s="129"/>
      <c r="C258" s="135"/>
    </row>
    <row r="259" customFormat="false" ht="15.75" hidden="false" customHeight="true" outlineLevel="0" collapsed="false">
      <c r="B259" s="129"/>
      <c r="C259" s="135"/>
    </row>
    <row r="260" customFormat="false" ht="15.75" hidden="false" customHeight="true" outlineLevel="0" collapsed="false">
      <c r="B260" s="129"/>
      <c r="C260" s="135"/>
    </row>
    <row r="261" customFormat="false" ht="15.75" hidden="false" customHeight="true" outlineLevel="0" collapsed="false">
      <c r="B261" s="129"/>
      <c r="C261" s="135"/>
    </row>
    <row r="262" customFormat="false" ht="15.75" hidden="false" customHeight="true" outlineLevel="0" collapsed="false">
      <c r="B262" s="129"/>
      <c r="C262" s="135"/>
    </row>
    <row r="263" customFormat="false" ht="15.75" hidden="false" customHeight="true" outlineLevel="0" collapsed="false">
      <c r="B263" s="129"/>
      <c r="C263" s="135"/>
    </row>
    <row r="264" customFormat="false" ht="15.75" hidden="false" customHeight="true" outlineLevel="0" collapsed="false">
      <c r="B264" s="129"/>
      <c r="C264" s="135"/>
    </row>
    <row r="265" customFormat="false" ht="15.75" hidden="false" customHeight="true" outlineLevel="0" collapsed="false">
      <c r="B265" s="129"/>
      <c r="C265" s="135"/>
    </row>
    <row r="266" customFormat="false" ht="15.75" hidden="false" customHeight="true" outlineLevel="0" collapsed="false">
      <c r="B266" s="129"/>
      <c r="C266" s="135"/>
    </row>
    <row r="267" customFormat="false" ht="15.75" hidden="false" customHeight="true" outlineLevel="0" collapsed="false">
      <c r="B267" s="129"/>
      <c r="C267" s="135"/>
    </row>
    <row r="268" customFormat="false" ht="15.75" hidden="false" customHeight="true" outlineLevel="0" collapsed="false">
      <c r="B268" s="129"/>
      <c r="C268" s="135"/>
    </row>
    <row r="269" customFormat="false" ht="15.75" hidden="false" customHeight="true" outlineLevel="0" collapsed="false">
      <c r="B269" s="129"/>
      <c r="C269" s="135"/>
    </row>
    <row r="270" customFormat="false" ht="15.75" hidden="false" customHeight="true" outlineLevel="0" collapsed="false">
      <c r="B270" s="129"/>
      <c r="C270" s="135"/>
    </row>
    <row r="271" customFormat="false" ht="15.75" hidden="false" customHeight="true" outlineLevel="0" collapsed="false">
      <c r="B271" s="129"/>
      <c r="C271" s="135"/>
    </row>
    <row r="272" customFormat="false" ht="15.75" hidden="false" customHeight="true" outlineLevel="0" collapsed="false">
      <c r="B272" s="129"/>
      <c r="C272" s="135"/>
    </row>
    <row r="273" customFormat="false" ht="15.75" hidden="false" customHeight="true" outlineLevel="0" collapsed="false">
      <c r="B273" s="129"/>
      <c r="C273" s="135"/>
    </row>
    <row r="274" customFormat="false" ht="15.75" hidden="false" customHeight="true" outlineLevel="0" collapsed="false">
      <c r="B274" s="129"/>
      <c r="C274" s="135"/>
    </row>
    <row r="275" customFormat="false" ht="15.75" hidden="false" customHeight="true" outlineLevel="0" collapsed="false">
      <c r="B275" s="129"/>
      <c r="C275" s="135"/>
    </row>
    <row r="276" customFormat="false" ht="15.75" hidden="false" customHeight="true" outlineLevel="0" collapsed="false">
      <c r="B276" s="129"/>
      <c r="C276" s="135"/>
    </row>
    <row r="277" customFormat="false" ht="15.75" hidden="false" customHeight="true" outlineLevel="0" collapsed="false">
      <c r="B277" s="129"/>
      <c r="C277" s="135"/>
    </row>
    <row r="278" customFormat="false" ht="15.75" hidden="false" customHeight="true" outlineLevel="0" collapsed="false">
      <c r="B278" s="129"/>
      <c r="C278" s="135"/>
    </row>
    <row r="279" customFormat="false" ht="15.75" hidden="false" customHeight="true" outlineLevel="0" collapsed="false">
      <c r="B279" s="129"/>
      <c r="C279" s="135"/>
    </row>
    <row r="280" customFormat="false" ht="15.75" hidden="false" customHeight="true" outlineLevel="0" collapsed="false">
      <c r="B280" s="129"/>
      <c r="C280" s="135"/>
    </row>
    <row r="281" customFormat="false" ht="15.75" hidden="false" customHeight="true" outlineLevel="0" collapsed="false">
      <c r="B281" s="129"/>
      <c r="C281" s="135"/>
    </row>
    <row r="282" customFormat="false" ht="15.75" hidden="false" customHeight="true" outlineLevel="0" collapsed="false">
      <c r="B282" s="129"/>
      <c r="C282" s="135"/>
    </row>
    <row r="283" customFormat="false" ht="15.75" hidden="false" customHeight="true" outlineLevel="0" collapsed="false">
      <c r="B283" s="129"/>
      <c r="C283" s="135"/>
    </row>
    <row r="284" customFormat="false" ht="15.75" hidden="false" customHeight="true" outlineLevel="0" collapsed="false">
      <c r="B284" s="129"/>
      <c r="C284" s="135"/>
    </row>
    <row r="285" customFormat="false" ht="15.75" hidden="false" customHeight="true" outlineLevel="0" collapsed="false">
      <c r="B285" s="129"/>
      <c r="C285" s="135"/>
    </row>
    <row r="286" customFormat="false" ht="15.75" hidden="false" customHeight="true" outlineLevel="0" collapsed="false">
      <c r="B286" s="129"/>
      <c r="C286" s="135"/>
    </row>
    <row r="287" customFormat="false" ht="15.75" hidden="false" customHeight="true" outlineLevel="0" collapsed="false">
      <c r="B287" s="129"/>
      <c r="C287" s="135"/>
    </row>
    <row r="288" customFormat="false" ht="15.75" hidden="false" customHeight="true" outlineLevel="0" collapsed="false">
      <c r="B288" s="129"/>
      <c r="C288" s="135"/>
    </row>
    <row r="289" customFormat="false" ht="15.75" hidden="false" customHeight="true" outlineLevel="0" collapsed="false">
      <c r="B289" s="129"/>
      <c r="C289" s="135"/>
    </row>
    <row r="290" customFormat="false" ht="15.75" hidden="false" customHeight="true" outlineLevel="0" collapsed="false">
      <c r="B290" s="129"/>
      <c r="C290" s="135"/>
    </row>
    <row r="291" customFormat="false" ht="15.75" hidden="false" customHeight="true" outlineLevel="0" collapsed="false">
      <c r="B291" s="129"/>
      <c r="C291" s="135"/>
    </row>
    <row r="292" customFormat="false" ht="15.75" hidden="false" customHeight="true" outlineLevel="0" collapsed="false">
      <c r="B292" s="129"/>
      <c r="C292" s="135"/>
    </row>
    <row r="293" customFormat="false" ht="15.75" hidden="false" customHeight="true" outlineLevel="0" collapsed="false">
      <c r="B293" s="129"/>
    </row>
    <row r="294" customFormat="false" ht="15.75" hidden="false" customHeight="true" outlineLevel="0" collapsed="false">
      <c r="B294" s="129"/>
    </row>
    <row r="295" customFormat="false" ht="15.75" hidden="false" customHeight="true" outlineLevel="0" collapsed="false">
      <c r="B295" s="129"/>
    </row>
    <row r="296" customFormat="false" ht="15.75" hidden="false" customHeight="true" outlineLevel="0" collapsed="false">
      <c r="B296" s="129"/>
    </row>
    <row r="297" customFormat="false" ht="15.75" hidden="false" customHeight="true" outlineLevel="0" collapsed="false">
      <c r="B297" s="129"/>
    </row>
    <row r="298" customFormat="false" ht="15.75" hidden="false" customHeight="true" outlineLevel="0" collapsed="false">
      <c r="B298" s="129"/>
    </row>
    <row r="299" customFormat="false" ht="15.75" hidden="false" customHeight="true" outlineLevel="0" collapsed="false">
      <c r="B299" s="129"/>
    </row>
    <row r="300" customFormat="false" ht="15.75" hidden="false" customHeight="true" outlineLevel="0" collapsed="false">
      <c r="B300" s="129"/>
    </row>
    <row r="301" customFormat="false" ht="15.75" hidden="false" customHeight="true" outlineLevel="0" collapsed="false">
      <c r="B301" s="129"/>
    </row>
    <row r="302" customFormat="false" ht="15.75" hidden="false" customHeight="true" outlineLevel="0" collapsed="false">
      <c r="B302" s="129"/>
    </row>
    <row r="303" customFormat="false" ht="15.75" hidden="false" customHeight="true" outlineLevel="0" collapsed="false">
      <c r="B303" s="129"/>
    </row>
    <row r="304" customFormat="false" ht="15.75" hidden="false" customHeight="true" outlineLevel="0" collapsed="false">
      <c r="B304" s="129"/>
    </row>
    <row r="305" customFormat="false" ht="15.75" hidden="false" customHeight="true" outlineLevel="0" collapsed="false">
      <c r="B305" s="129"/>
    </row>
    <row r="306" customFormat="false" ht="15.75" hidden="false" customHeight="true" outlineLevel="0" collapsed="false">
      <c r="B306" s="129"/>
    </row>
    <row r="307" customFormat="false" ht="15.75" hidden="false" customHeight="true" outlineLevel="0" collapsed="false">
      <c r="B307" s="129"/>
    </row>
    <row r="308" customFormat="false" ht="15.75" hidden="false" customHeight="true" outlineLevel="0" collapsed="false">
      <c r="B308" s="129"/>
    </row>
    <row r="309" customFormat="false" ht="15.75" hidden="false" customHeight="true" outlineLevel="0" collapsed="false">
      <c r="B309" s="129"/>
    </row>
    <row r="310" customFormat="false" ht="15.75" hidden="false" customHeight="true" outlineLevel="0" collapsed="false">
      <c r="B310" s="129"/>
    </row>
    <row r="311" customFormat="false" ht="15.75" hidden="false" customHeight="true" outlineLevel="0" collapsed="false">
      <c r="B311" s="129"/>
    </row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</sheetData>
  <mergeCells count="15">
    <mergeCell ref="F1:G1"/>
    <mergeCell ref="A2:A18"/>
    <mergeCell ref="B2:B18"/>
    <mergeCell ref="A19:A81"/>
    <mergeCell ref="B19:B37"/>
    <mergeCell ref="B38:B58"/>
    <mergeCell ref="B59:B81"/>
    <mergeCell ref="A82:A141"/>
    <mergeCell ref="B82:B102"/>
    <mergeCell ref="L94:L95"/>
    <mergeCell ref="B103:B124"/>
    <mergeCell ref="B125:B141"/>
    <mergeCell ref="A142:A187"/>
    <mergeCell ref="B142:B163"/>
    <mergeCell ref="B164:B187"/>
  </mergeCells>
  <hyperlinks>
    <hyperlink ref="Q86" r:id="rId1" display="Баллон газовый резьбовой Gas Standard 450 г. - купить в Минске"/>
  </hyperlinks>
  <printOptions headings="false" gridLines="false" gridLinesSet="true" horizontalCentered="false" verticalCentered="false"/>
  <pageMargins left="0.193055555555556" right="0.261111111111111" top="0.202777777777778" bottom="0.145138888888889" header="0.511811023622047" footer="0.511811023622047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B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1" activeCellId="0" sqref="F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9.71"/>
    <col collapsed="false" customWidth="true" hidden="false" outlineLevel="0" max="26" min="3" style="1" width="8.71"/>
  </cols>
  <sheetData>
    <row r="4" customFormat="false" ht="15" hidden="false" customHeight="true" outlineLevel="0" collapsed="false">
      <c r="B4" s="133" t="s">
        <v>148</v>
      </c>
    </row>
    <row r="5" customFormat="false" ht="15" hidden="false" customHeight="true" outlineLevel="0" collapsed="false">
      <c r="B5" s="133" t="s">
        <v>149</v>
      </c>
    </row>
    <row r="6" customFormat="false" ht="15" hidden="false" customHeight="true" outlineLevel="0" collapsed="false">
      <c r="B6" s="8" t="s">
        <v>150</v>
      </c>
    </row>
    <row r="7" customFormat="false" ht="15" hidden="false" customHeight="true" outlineLevel="0" collapsed="false">
      <c r="B7" s="1" t="s">
        <v>151</v>
      </c>
    </row>
    <row r="8" customFormat="false" ht="15" hidden="false" customHeight="true" outlineLevel="0" collapsed="false">
      <c r="B8" s="8" t="s">
        <v>152</v>
      </c>
    </row>
    <row r="9" customFormat="false" ht="15" hidden="false" customHeight="true" outlineLevel="0" collapsed="false">
      <c r="B9" s="8" t="s">
        <v>153</v>
      </c>
    </row>
    <row r="10" customFormat="false" ht="15" hidden="false" customHeight="true" outlineLevel="0" collapsed="false">
      <c r="B10" s="1" t="s">
        <v>154</v>
      </c>
    </row>
    <row r="11" customFormat="false" ht="15" hidden="false" customHeight="true" outlineLevel="0" collapsed="false">
      <c r="B11" s="8" t="s">
        <v>155</v>
      </c>
    </row>
    <row r="12" customFormat="false" ht="15" hidden="false" customHeight="true" outlineLevel="0" collapsed="false">
      <c r="B12" s="8" t="s">
        <v>156</v>
      </c>
    </row>
    <row r="13" customFormat="false" ht="15" hidden="false" customHeight="true" outlineLevel="0" collapsed="false">
      <c r="B13" s="8" t="s">
        <v>157</v>
      </c>
    </row>
    <row r="14" customFormat="false" ht="15" hidden="false" customHeight="true" outlineLevel="0" collapsed="false">
      <c r="B14" s="8" t="s">
        <v>158</v>
      </c>
    </row>
    <row r="15" customFormat="false" ht="15" hidden="false" customHeight="true" outlineLevel="0" collapsed="false">
      <c r="B15" s="8" t="s">
        <v>159</v>
      </c>
    </row>
    <row r="16" customFormat="false" ht="15" hidden="false" customHeight="true" outlineLevel="0" collapsed="false">
      <c r="B16" s="8" t="s">
        <v>160</v>
      </c>
    </row>
    <row r="17" customFormat="false" ht="15" hidden="false" customHeight="true" outlineLevel="0" collapsed="false">
      <c r="B17" s="1" t="s">
        <v>161</v>
      </c>
    </row>
    <row r="18" customFormat="false" ht="15" hidden="false" customHeight="true" outlineLevel="0" collapsed="false">
      <c r="B18" s="1" t="s">
        <v>162</v>
      </c>
    </row>
    <row r="19" customFormat="false" ht="15" hidden="false" customHeight="true" outlineLevel="0" collapsed="false">
      <c r="B19" s="1" t="s">
        <v>163</v>
      </c>
    </row>
    <row r="20" customFormat="false" ht="15" hidden="false" customHeight="true" outlineLevel="0" collapsed="false">
      <c r="B20" s="8" t="s">
        <v>164</v>
      </c>
    </row>
    <row r="21" customFormat="false" ht="15.75" hidden="false" customHeight="true" outlineLevel="0" collapsed="false">
      <c r="B21" s="8" t="s">
        <v>165</v>
      </c>
    </row>
    <row r="22" customFormat="false" ht="15.75" hidden="false" customHeight="true" outlineLevel="0" collapsed="false">
      <c r="B22" s="8" t="s">
        <v>166</v>
      </c>
    </row>
    <row r="23" customFormat="false" ht="15.75" hidden="false" customHeight="true" outlineLevel="0" collapsed="false">
      <c r="B23" s="8" t="s">
        <v>167</v>
      </c>
    </row>
    <row r="24" customFormat="false" ht="15.75" hidden="false" customHeight="true" outlineLevel="0" collapsed="false">
      <c r="B24" s="8" t="s">
        <v>168</v>
      </c>
    </row>
    <row r="25" customFormat="false" ht="15.75" hidden="false" customHeight="true" outlineLevel="0" collapsed="false">
      <c r="B25" s="8" t="s">
        <v>169</v>
      </c>
    </row>
    <row r="26" customFormat="false" ht="15.75" hidden="false" customHeight="true" outlineLevel="0" collapsed="false">
      <c r="B26" s="8" t="s">
        <v>170</v>
      </c>
    </row>
    <row r="27" customFormat="false" ht="15.75" hidden="false" customHeight="true" outlineLevel="0" collapsed="false">
      <c r="B27" s="8" t="s">
        <v>171</v>
      </c>
    </row>
    <row r="28" customFormat="false" ht="15.75" hidden="false" customHeight="true" outlineLevel="0" collapsed="false">
      <c r="B28" s="1" t="s">
        <v>172</v>
      </c>
    </row>
    <row r="29" customFormat="false" ht="15.75" hidden="false" customHeight="true" outlineLevel="0" collapsed="false">
      <c r="B29" s="1" t="s">
        <v>173</v>
      </c>
    </row>
    <row r="30" customFormat="false" ht="15.75" hidden="false" customHeight="true" outlineLevel="0" collapsed="false">
      <c r="B30" s="1" t="s">
        <v>174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>
      <c r="B34" s="1" t="s">
        <v>175</v>
      </c>
    </row>
    <row r="35" customFormat="false" ht="15.75" hidden="false" customHeight="true" outlineLevel="0" collapsed="false">
      <c r="B35" s="1" t="s">
        <v>117</v>
      </c>
    </row>
    <row r="36" customFormat="false" ht="15.75" hidden="false" customHeight="true" outlineLevel="0" collapsed="false">
      <c r="B36" s="8" t="s">
        <v>118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2020-08-05T11:06:46Z</dcterms:created>
  <dc:creator>Artem</dc:creator>
  <dc:description/>
  <dc:language>en-US</dc:language>
  <cp:lastModifiedBy/>
  <cp:lastPrinted>2024-07-30T16:36:24Z</cp:lastPrinted>
  <dcterms:modified xsi:type="dcterms:W3CDTF">2026-06-26T10:04:25Z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